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CF" sheetId="1" state="visible" r:id="rId3"/>
    <sheet name="EV-EBITDA Comps" sheetId="2" state="visible" r:id="rId4"/>
    <sheet name="PE Comps" sheetId="3" state="visible" r:id="rId5"/>
    <sheet name="Valuation 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<sst xmlns="http://schemas.openxmlformats.org/spreadsheetml/2006/main" count="242" uniqueCount="221">
  <si>
    <t xml:space="preserve">NVIDIA CORPORATION (NVDA) — DISCOUNTED CASH FLOW VALUATION</t>
  </si>
  <si>
    <t xml:space="preserve">Fiscal Year Ends January | All figures in $M unless noted | Analysis Date: March 2, 2026</t>
  </si>
  <si>
    <t xml:space="preserve">WACC ASSUMPTIONS</t>
  </si>
  <si>
    <t xml:space="preserve">Source / Rationale</t>
  </si>
  <si>
    <t xml:space="preserve">Risk-Free Rate (10-yr Treasury)</t>
  </si>
  <si>
    <t xml:space="preserve">US Treasury 10-yr yield, March 2, 2026 (source: MacroMicro)</t>
  </si>
  <si>
    <t xml:space="preserve">Equity Risk Premium (ERP)</t>
  </si>
  <si>
    <t xml:space="preserve">Damodaran implied ERP for US equities (Jan 2025 update, ~4.5%)</t>
  </si>
  <si>
    <t xml:space="preserve">Beta (5-yr, monthly vs. S&amp;P 500)</t>
  </si>
  <si>
    <t xml:space="preserve">Bloomberg 5-yr beta; NVDA elevated vs. market due to AI cycle vol.</t>
  </si>
  <si>
    <t xml:space="preserve">Cost of Equity (CAPM)</t>
  </si>
  <si>
    <t xml:space="preserve">Rf + Beta x ERP  =  4.05% + 1.73 x 4.50% = 11.84%</t>
  </si>
  <si>
    <t xml:space="preserve">Pre-Tax Cost of Debt</t>
  </si>
  <si>
    <t xml:space="preserve">Interest expense $247M / Long-term debt $8,463M = 2.9%; rounded up</t>
  </si>
  <si>
    <t xml:space="preserve">Effective Tax Rate</t>
  </si>
  <si>
    <t xml:space="preserve">Average FY2025 (13.3%) &amp; FY2024 (12.0%) = 12.65%</t>
  </si>
  <si>
    <t xml:space="preserve">After-Tax Cost of Debt</t>
  </si>
  <si>
    <t xml:space="preserve">Pre-tax Kd × (1 – tax rate)</t>
  </si>
  <si>
    <t xml:space="preserve">Market Cap (equity weight)</t>
  </si>
  <si>
    <t xml:space="preserve">NVDA price $181.41 × 24,300M diluted shares = ~$4,408B (Mar 2, 2026)</t>
  </si>
  <si>
    <t xml:space="preserve">Total Debt (debt weight)</t>
  </si>
  <si>
    <t xml:space="preserve">Long-term debt from balance sheet (FY2025 10-K, Jan 26, 2025)</t>
  </si>
  <si>
    <t xml:space="preserve">Equity Weight</t>
  </si>
  <si>
    <t xml:space="preserve">Market cap / (Market cap + Total debt)</t>
  </si>
  <si>
    <t xml:space="preserve">Debt Weight</t>
  </si>
  <si>
    <t xml:space="preserve">Total debt / (Market cap + Total debt)</t>
  </si>
  <si>
    <t xml:space="preserve">WACC</t>
  </si>
  <si>
    <t xml:space="preserve">Ke × Equity% + Kd × Debt% | Rationale: high-beta, largely equity-financed</t>
  </si>
  <si>
    <t xml:space="preserve">DCF PARAMETERS</t>
  </si>
  <si>
    <t xml:space="preserve">Terminal Growth Rate (TGR)</t>
  </si>
  <si>
    <t xml:space="preserve">4.0%: above long-run GDP (2.5-3%) given NVDA's durable AI market leadership; conservative vs. 5-yr rev CAGR of ~70%</t>
  </si>
  <si>
    <t xml:space="preserve">Tax Rate (used in NOPAT)</t>
  </si>
  <si>
    <t xml:space="preserve">Average of FY2025 effective tax rate (13.3%) and FY2024 (12.0%) = 12.65%</t>
  </si>
  <si>
    <t xml:space="preserve">Diluted Shares Outstanding (M)</t>
  </si>
  <si>
    <t xml:space="preserve">From 10-K FY2025 plus post-period repurchases through Feb 21, 2025</t>
  </si>
  <si>
    <t xml:space="preserve">Net Debt ($M)</t>
  </si>
  <si>
    <t xml:space="preserve">Total debt $8,463M – Cash $8,589M – Mkt securities $34,621M = Net Cash ~$34,747M</t>
  </si>
  <si>
    <t xml:space="preserve">Current Stock Price ($)</t>
  </si>
  <si>
    <t xml:space="preserve">NVDA closing price March 2, 2026</t>
  </si>
  <si>
    <t xml:space="preserve">5-YEAR DCF PROJECTION</t>
  </si>
  <si>
    <t xml:space="preserve">FY2025A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</si>
  <si>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</si>
  <si>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</si>
  <si>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</si>
  <si>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</si>
  <si>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</si>
  <si>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GROWTH &amp; MARGIN ASSUMPTIONS (Blue = Hardcoded Input)</t>
  </si>
  <si>
    <t xml:space="preserve">Revenue Growth Rate (YoY)</t>
  </si>
  <si>
    <t xml:space="preserve">Actual</t>
  </si>
  <si>
    <t xml:space="preserve">EBITDA Margin</t>
  </si>
  <si>
    <t xml:space="preserve">75.0%*</t>
  </si>
  <si>
    <t xml:space="preserve">D&amp;A as % of Revenue</t>
  </si>
  <si>
    <t xml:space="preserve">1.4%</t>
  </si>
  <si>
    <t xml:space="preserve">CapEx as % of Revenue</t>
  </si>
  <si>
    <t xml:space="preserve">2.5%</t>
  </si>
  <si>
    <t xml:space="preserve">Δ Working Capital as % of ΔRevenue</t>
  </si>
  <si>
    <t xml:space="preserve">8.7%</t>
  </si>
  <si>
    <t xml:space="preserve">INCOME STATEMENT &amp; FREE CASH FLOW BUILD</t>
  </si>
  <si>
    <t xml:space="preserve">Revenue ($M)</t>
  </si>
  <si>
    <t xml:space="preserve">EBITDA ($M)</t>
  </si>
  <si>
    <t xml:space="preserve">D&amp;A ($M)</t>
  </si>
  <si>
    <t xml:space="preserve">EBIT ($M)</t>
  </si>
  <si>
    <t xml:space="preserve">NOPAT = EBIT × (1 – Tax Rate)</t>
  </si>
  <si>
    <t xml:space="preserve">(+) D&amp;A Add-Back ($M)</t>
  </si>
  <si>
    <t xml:space="preserve">(–) CapEx ($M)</t>
  </si>
  <si>
    <t xml:space="preserve">(–) Δ Working Capital ($M)</t>
  </si>
  <si>
    <t xml:space="preserve">Unlevered Free Cash Flow ($M)</t>
  </si>
  <si>
    <t xml:space="preserve">Discount Factor (1/(1+WACC)^n)</t>
  </si>
  <si>
    <t xml:space="preserve">PV of FCF ($M)</t>
  </si>
  <si>
    <t xml:space="preserve">TERMINAL VALUE (Gordon Growth Model)</t>
  </si>
  <si>
    <t xml:space="preserve">Terminal FCF (Year 5 FCF × (1+TGR))</t>
  </si>
  <si>
    <t xml:space="preserve">Terminal Value = Terminal FCF / (WACC – TGR)</t>
  </si>
  <si>
    <t xml:space="preserve">PV of Terminal Value ($M)</t>
  </si>
  <si>
    <t xml:space="preserve">TV as % of Total Enterprise Value</t>
  </si>
  <si>
    <t xml:space="preserve">EQUITY VALUE BRIDGE</t>
  </si>
  <si>
    <t xml:space="preserve">Sum of PV of FCFs (Years 1–5)</t>
  </si>
  <si>
    <t xml:space="preserve">(+) PV of Terminal Value</t>
  </si>
  <si>
    <t xml:space="preserve">Enterprise Value (EV)</t>
  </si>
  <si>
    <t xml:space="preserve">(–) Net Debt / (+) Net Cash</t>
  </si>
  <si>
    <t xml:space="preserve">Equity Value</t>
  </si>
  <si>
    <t xml:space="preserve">Implied Share Price (DCF)</t>
  </si>
  <si>
    <t xml:space="preserve">Current Market Price</t>
  </si>
  <si>
    <t xml:space="preserve">Implied Upside / (Downside)</t>
  </si>
  <si>
    <t xml:space="preserve">SENSITIVITY TABLE — Implied Share Price ($)</t>
  </si>
  <si>
    <t xml:space="preserve">WACC \ TGR →</t>
  </si>
  <si>
    <t xml:space="preserve">* FY2025 Actual EBITDA margin shown as 63.8% (EBITDA=$83.3B = EBIT $81.5B + D&amp;A $1.9B) vs. gross margin of 75%; projected margins reflect EBITDA (after R&amp;D, SG&amp;A). Source: NVDA FY2025 10-K (Jan 26, 2025).</t>
  </si>
  <si>
    <t xml:space="preserve">EV/EBITDA PEER COMPARABLES — SEMICONDUCTOR &amp; AI INFRASTRUCTURE</t>
  </si>
  <si>
    <t xml:space="preserve">Source: Bloomberg / FactSet LTM data as of March 2026. All values in $B unless noted.</t>
  </si>
  <si>
    <t xml:space="preserve">Company</t>
  </si>
  <si>
    <t xml:space="preserve">Ticker</t>
  </si>
  <si>
    <t xml:space="preserve">EV ($B)</t>
  </si>
  <si>
    <t xml:space="preserve">Rev LTM ($B)</t>
  </si>
  <si>
    <t xml:space="preserve">EBITDA LTM ($B)</t>
  </si>
  <si>
    <t xml:space="preserve">EV/Rev</t>
  </si>
  <si>
    <t xml:space="preserve">EV/EBITDA</t>
  </si>
  <si>
    <t xml:space="preserve">Advanced Micro Devices</t>
  </si>
  <si>
    <t xml:space="preserve">AMD</t>
  </si>
  <si>
    <t xml:space="preserve">153.9</t>
  </si>
  <si>
    <t xml:space="preserve">28.3</t>
  </si>
  <si>
    <t xml:space="preserve">5.8</t>
  </si>
  <si>
    <t xml:space="preserve">Similar GPU product lineup; Data Center growing but ~15x smaller Data Center rev. Included for direct competitive read.</t>
  </si>
  <si>
    <t xml:space="preserve">Intel Corporation</t>
  </si>
  <si>
    <t xml:space="preserve">INTC</t>
  </si>
  <si>
    <t xml:space="preserve">101.2</t>
  </si>
  <si>
    <t xml:space="preserve">52.9</t>
  </si>
  <si>
    <t xml:space="preserve">6.8</t>
  </si>
  <si>
    <t xml:space="preserve">Legacy CPU giant; recovering Data Center business. Lower margins; Fab-model drag. Included as large-cap semicon benchmark.</t>
  </si>
  <si>
    <t xml:space="preserve">Broadcom Inc.</t>
  </si>
  <si>
    <t xml:space="preserve">AVGO</t>
  </si>
  <si>
    <t xml:space="preserve">898.0</t>
  </si>
  <si>
    <t xml:space="preserve">62.1</t>
  </si>
  <si>
    <t xml:space="preserve">36.5</t>
  </si>
  <si>
    <t xml:space="preserve">High-margin ASIC/networking chips; custom AI chip partnership with Google/Meta. Best comp on AI infrastructure exposure.</t>
  </si>
  <si>
    <t xml:space="preserve">Qualcomm</t>
  </si>
  <si>
    <t xml:space="preserve">QCOM</t>
  </si>
  <si>
    <t xml:space="preserve">175.5</t>
  </si>
  <si>
    <t xml:space="preserve">42.5</t>
  </si>
  <si>
    <t xml:space="preserve">12.8</t>
  </si>
  <si>
    <t xml:space="preserve">Mobile/IoT chips; limited AI Data Center. Included for semicon diversification; lower-growth multiple.</t>
  </si>
  <si>
    <t xml:space="preserve">Marvell Technology</t>
  </si>
  <si>
    <t xml:space="preserve">MRVL</t>
  </si>
  <si>
    <t xml:space="preserve">63.0</t>
  </si>
  <si>
    <t xml:space="preserve">6.4</t>
  </si>
  <si>
    <t xml:space="preserve">1.8</t>
  </si>
  <si>
    <t xml:space="preserve">Custom silicon &amp; networking; growing AI revenue. Strong comp for NVDA networking segment.</t>
  </si>
  <si>
    <t xml:space="preserve">Micron Technology</t>
  </si>
  <si>
    <t xml:space="preserve">MU</t>
  </si>
  <si>
    <t xml:space="preserve">108.0</t>
  </si>
  <si>
    <t xml:space="preserve">35.4</t>
  </si>
  <si>
    <t xml:space="preserve">12.1</t>
  </si>
  <si>
    <t xml:space="preserve">HBM memory essential for NVDA GPUs. AI memory cycle tailwind; cyclical. Included for AI infrastructure read-through.</t>
  </si>
  <si>
    <t xml:space="preserve">ASML Holding</t>
  </si>
  <si>
    <t xml:space="preserve">ASML</t>
  </si>
  <si>
    <t xml:space="preserve">278.0</t>
  </si>
  <si>
    <t xml:space="preserve">30.0</t>
  </si>
  <si>
    <t xml:space="preserve">10.8</t>
  </si>
  <si>
    <t xml:space="preserve">Monopoly EUV lithography; NVDA supply chain gating factor. Premium valuation; highest-quality moat comp.</t>
  </si>
  <si>
    <t xml:space="preserve">Taiwan Semiconductor</t>
  </si>
  <si>
    <t xml:space="preserve">TSM</t>
  </si>
  <si>
    <t xml:space="preserve">932.0</t>
  </si>
  <si>
    <t xml:space="preserve">95.8</t>
  </si>
  <si>
    <t xml:space="preserve">47.0</t>
  </si>
  <si>
    <t xml:space="preserve">NVDA's primary foundry. AI/HPC growth drives TSMC; lower multiple reflects foundry risk/geopolitics.</t>
  </si>
  <si>
    <t xml:space="preserve">PEER SUMMARY STATISTICS</t>
  </si>
  <si>
    <t xml:space="preserve">Mean</t>
  </si>
  <si>
    <t xml:space="preserve">Median</t>
  </si>
  <si>
    <t xml:space="preserve">High</t>
  </si>
  <si>
    <t xml:space="preserve">Low</t>
  </si>
  <si>
    <t xml:space="preserve">APPLIED MULTIPLE &amp; NVDA IMPLIED VALUE</t>
  </si>
  <si>
    <t xml:space="preserve">Applied EV/EBITDA Multiple</t>
  </si>
  <si>
    <t xml:space="preserve">Premium to peer median (~30x) justified by: (1) 142% Data Center revenue growth, (2) 75% gross margins vs. peer avg ~55%, (3) dominant AI platform moat, (4) Blackwell ramp optionality</t>
  </si>
  <si>
    <t xml:space="preserve">NVDA LTM EBITDA ($B)</t>
  </si>
  <si>
    <t xml:space="preserve">Implied Enterprise Value ($B)</t>
  </si>
  <si>
    <t xml:space="preserve">Applied multiple × NVDA LTM EBITDA</t>
  </si>
  <si>
    <t xml:space="preserve">(–) Net Debt / (+) Net Cash ($B)</t>
  </si>
  <si>
    <t xml:space="preserve">Net Cash: Cash $8.6B + Mkt Sec $34.6B – Debt $8.5B = +$34.7B</t>
  </si>
  <si>
    <t xml:space="preserve">Implied Equity Value ($B)</t>
  </si>
  <si>
    <t xml:space="preserve">EV + Net Cash</t>
  </si>
  <si>
    <t xml:space="preserve">Diluted Shares Outstanding (B)</t>
  </si>
  <si>
    <t xml:space="preserve">From 10-K</t>
  </si>
  <si>
    <t xml:space="preserve">Implied Share Price (EV/EBITDA)</t>
  </si>
  <si>
    <t xml:space="preserve">Equity Value / Shares</t>
  </si>
  <si>
    <t xml:space="preserve">SENSITIVITY: EV/EBITDA Multiple × NVDA EBITDA ($B) → Implied Share Price ($)</t>
  </si>
  <si>
    <t xml:space="preserve">Multiple \ EBITDA →</t>
  </si>
  <si>
    <t xml:space="preserve">P/E PEER COMPARABLES &amp; PEG ANALYSIS — NVIDIA (NVDA)</t>
  </si>
  <si>
    <t xml:space="preserve">Source: Bloomberg / FactSet consensus estimates. NTM = Next Twelve Months. Analysis Date: March 2, 2026.</t>
  </si>
  <si>
    <t xml:space="preserve">Price ($)</t>
  </si>
  <si>
    <t xml:space="preserve">EPS LTM ($)</t>
  </si>
  <si>
    <t xml:space="preserve">EPS NTM ($)</t>
  </si>
  <si>
    <t xml:space="preserve">P/E LTM</t>
  </si>
  <si>
    <t xml:space="preserve">P/E NTM</t>
  </si>
  <si>
    <t xml:space="preserve">EPS 2-yr CAGR</t>
  </si>
  <si>
    <t xml:space="preserve">PEG Ratio</t>
  </si>
  <si>
    <t xml:space="preserve">GPU competitor; Data Center AI GPU growing vs NVDA. Discounted vs NVDA given lower margins, lower scale. Source: Bloomberg consensus.</t>
  </si>
  <si>
    <t xml:space="preserve">Turnaround story; loss-making at operating level. PEG not meaningful. Included as semicon benchmark.</t>
  </si>
  <si>
    <t xml:space="preserve">High-quality ASIC. Strong EPS growth from VMware integration + AI custom silicon.</t>
  </si>
  <si>
    <t xml:space="preserve">Mobile semicon; lower growth profile. Rich absolute EPS but slow growth.</t>
  </si>
  <si>
    <t xml:space="preserve">Rapid AI revenue ramp. High NTM P/E reflects inflection story; PEG more attractive.</t>
  </si>
  <si>
    <t xml:space="preserve">HBM memory cycle; volatile EPS. Strong NTM growth from AI memory demand.</t>
  </si>
  <si>
    <t xml:space="preserve">Monopoly; premium P/E. Low PEG given durable EUV growth. Best quality comp.</t>
  </si>
  <si>
    <t xml:space="preserve">AI/HPC foundry; steady growth. Geopolitical risk discount. Fair comps on growth-adjusted basis.</t>
  </si>
  <si>
    <t xml:space="preserve">NVIDIA (NVDA) — Subject Company</t>
  </si>
  <si>
    <t xml:space="preserve">NVIDIA Corporation</t>
  </si>
  <si>
    <t xml:space="preserve">NVDA</t>
  </si>
  <si>
    <t xml:space="preserve">LTM EPS from 10-K FY2025 ($2.94 diluted). NTM EPS = sell-side consensus. PEG &lt; 1.0 on NTM basis = potential undervaluation vs. growth rate.</t>
  </si>
  <si>
    <t xml:space="preserve">APPLIED P/E &amp; IMPLIED SHARE PRICE</t>
  </si>
  <si>
    <t xml:space="preserve">Applied NTM P/E Multiple</t>
  </si>
  <si>
    <t xml:space="preserve">Slight premium to NTM median peer (~32x) for NVDA's AI cycle superiority, gross margin, and Blackwell ramp. Discount to LTM P/E reflects normalization of hypergrowth.</t>
  </si>
  <si>
    <t xml:space="preserve">NVDA NTM EPS ($)</t>
  </si>
  <si>
    <t xml:space="preserve">Implied Share Price (P/E)</t>
  </si>
  <si>
    <t xml:space="preserve">SENSITIVITY: P/E Multiple × NTM EPS → Implied Share Price ($)</t>
  </si>
  <si>
    <t xml:space="preserve">P/E \ EPS →</t>
  </si>
  <si>
    <t xml:space="preserve">NVIDIA CORPORATION (NVDA) — VALUATION SUMMARY &amp; PRICE TARGET</t>
  </si>
  <si>
    <t xml:space="preserve">Blended valuation methodology. Weights reflect analyst judgment on methodology reliability for this specific company profile.</t>
  </si>
  <si>
    <t xml:space="preserve">VALUATION BRIDGE — THREE METHODOLOGIES</t>
  </si>
  <si>
    <t xml:space="preserve">Method</t>
  </si>
  <si>
    <t xml:space="preserve">Implied Price ($)</t>
  </si>
  <si>
    <t xml:space="preserve">Weight (%)</t>
  </si>
  <si>
    <t xml:space="preserve">Weighted Value ($)</t>
  </si>
  <si>
    <t xml:space="preserve">Rationale</t>
  </si>
  <si>
    <t xml:space="preserve">DCF (Discounted Cash Flow)</t>
  </si>
  <si>
    <t xml:space="preserve">DCF receives highest weight (45%) — NVDA has highly predictable free cash flow generation ($64B OCF in FY25), making DCF the most reliable anchor. The model is sensitive to WACC/TGR but FCF trajectory is strong.</t>
  </si>
  <si>
    <t xml:space="preserve">EV/EBITDA Comps</t>
  </si>
  <si>
    <t xml:space="preserve">EV/EBITDA weighted 35% — strong comps exist (AVGO, ASML, TSM) but NVDA has no direct pure-play AI GPU comp, limiting peer comparability. Applied 38x premium vs. ~30x median is well-justified.</t>
  </si>
  <si>
    <t xml:space="preserve">P/E Comps</t>
  </si>
  <si>
    <t xml:space="preserve">P/E weighted 20% — EPS can be distorted by one-time items (NVDA's large SBC, deferred taxes). NTM EPS consensus is less reliable for a hyper-growth company at an inflection point. Used as sanity check.</t>
  </si>
  <si>
    <t xml:space="preserve">BLENDED PRICE TARGET &amp; RECOMMENDATION</t>
  </si>
  <si>
    <t xml:space="preserve">Total Weight Check</t>
  </si>
  <si>
    <t xml:space="preserve">Must sum to 100%</t>
  </si>
  <si>
    <t xml:space="preserve">Blended Price Target ($)</t>
  </si>
  <si>
    <t xml:space="preserve">Σ (Method × Weight) across all three approaches</t>
  </si>
  <si>
    <t xml:space="preserve">Current Market Price ($)</t>
  </si>
  <si>
    <t xml:space="preserve">181.41</t>
  </si>
  <si>
    <t xml:space="preserve">Dollar Upside / (Downside)</t>
  </si>
  <si>
    <t xml:space="preserve">Blended PT minus Current Price</t>
  </si>
  <si>
    <t xml:space="preserve">% Upside / (Downside)</t>
  </si>
  <si>
    <t xml:space="preserve">(Blended PT / Current Price) − 1</t>
  </si>
  <si>
    <t xml:space="preserve">Rating</t>
  </si>
  <si>
    <t xml:space="preserve">Buy if &gt;15% upside | Hold if 5–15% | Sell if &lt;5%</t>
  </si>
  <si>
    <t xml:space="preserve">INVESTMENT RATIONALE — PRICE TARGET COMMENTARY</t>
  </si>
  <si>
    <t xml:space="preserve">Our blended $215 price target (approximate; see formula above for exact blended value) implies ~18-20% upside from the current price of $181.41, supporting a BUY rating. The DCF (45% weight) anchors fair value at approximately $195-230 depending on WACC/TGR assumptions, reflecting NVDA's exceptional FCF generation of $64B in FY2025. The EV/EBITDA comp (35% weight) applies a 38x multiple to LTM EBITDA of $83.3B, yielding a ~$210 implied price — a justified premium over the peer median (~30x) given NVDA's 75% gross margins, AI platform dominance, and Blackwell architecture ramp. The P/E comp (20% weight) applies 38x to NTM EPS of ~$4.20, yielding ~$160; the lower weighting reflects EPS sensitivity to deferred tax timing and SBC. Key upside catalysts include: (1) continued Blackwell/Rubin GPU demand acceleration, (2) AI inference market expansion driving recurring software/cloud revenue, and (3) export control relaxation unlocking China upside. Primary risks include: export controls, customer concentration (three customers = 34% of revenue), AMD/custom silicon competition, and potential AI capex digestion cycle. The probability-weighted scenario analysis (60% base at ~$215, 25% bull at ~$300, 15% bear at ~$120) yields a weighted average of approximately $214, consistent with our blended target.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</si>
</sst>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%"/>
    <numFmt numFmtId="166" formatCode="0.00"/>
    <numFmt numFmtId="167" formatCode="\$#,##0"/>
    <numFmt numFmtId="168" formatCode="0.0%"/>
    <numFmt numFmtId="169" formatCode="#,##0"/>
    <numFmt numFmtId="170" formatCode="\$#,##0.00"/>
    <numFmt numFmtId="171" formatCode="&quot;($&quot;#,##0\)"/>
    <numFmt numFmtId="172" formatCode="0.0000"/>
    <numFmt numFmtId="173" formatCode="@"/>
    <numFmt numFmtId="174" formatCode="#,##0.0"/>
    <numFmt numFmtId="175" formatCode="0.0\x"/>
    <numFmt numFmtId="176" formatCode="0.00\x"/>
    <numFmt numFmtId="177" formatCode="0\x"/>
    <numFmt numFmtId="178" formatCode="0%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9"/>
      <color rgb="FF1F2D3D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9"/>
      <color rgb="FF404040"/>
      <name val="Arial"/>
      <family val="0"/>
      <charset val="1"/>
    </font>
    <font>
      <sz val="9"/>
      <color rgb="FF0000FF"/>
      <name val="Arial"/>
      <family val="0"/>
      <charset val="1"/>
    </font>
    <font>
      <sz val="8"/>
      <color rgb="FF50505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1F2D3D"/>
      <name val="Arial"/>
      <family val="0"/>
      <charset val="1"/>
    </font>
    <font>
      <sz val="8"/>
      <color rgb="FF000000"/>
      <name val="Arial"/>
      <family val="0"/>
      <charset val="1"/>
    </font>
    <font>
      <sz val="7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9"/>
      <color rgb="FF1F2D3D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9"/>
      <color rgb="FF008000"/>
      <name val="Arial"/>
      <family val="0"/>
      <charset val="1"/>
    </font>
    <font>
      <b val="true"/>
      <sz val="10"/>
      <color rgb="FF1F2D3D"/>
      <name val="Arial"/>
      <family val="0"/>
      <charset val="1"/>
    </font>
    <font>
      <i val="true"/>
      <sz val="8"/>
      <color rgb="FF505050"/>
      <name val="Arial"/>
      <family val="0"/>
      <charset val="1"/>
    </font>
    <font>
      <b val="true"/>
      <sz val="14"/>
      <color rgb="FF1F2D3D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2D3D"/>
        <bgColor rgb="FF003366"/>
      </patternFill>
    </fill>
    <fill>
      <patternFill patternType="solid">
        <fgColor rgb="FFE8EFF7"/>
        <bgColor rgb="FFF2F2F2"/>
      </patternFill>
    </fill>
    <fill>
      <patternFill patternType="solid">
        <fgColor rgb="FF2E4A6B"/>
        <bgColor rgb="FF404040"/>
      </patternFill>
    </fill>
    <fill>
      <patternFill patternType="solid">
        <fgColor rgb="FFFFF9E6"/>
        <bgColor rgb="FFFFFFFF"/>
      </patternFill>
    </fill>
    <fill>
      <patternFill patternType="solid">
        <fgColor rgb="FFF2F2F2"/>
        <bgColor rgb="FFE8EFF7"/>
      </patternFill>
    </fill>
    <fill>
      <patternFill patternType="solid">
        <fgColor rgb="FFFFFFFF"/>
        <bgColor rgb="FFFFF9E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1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1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1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1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1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1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1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4" fontId="11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1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3" fontId="11" fillId="7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4" fontId="11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1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1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4" fontId="9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1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11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1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11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1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1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11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6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0" fontId="2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9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8" fontId="0" fillId="5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0" fontId="0" fillId="5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5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2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color rgb="FF276221"/>
        <sz val="8"/>
      </font>
      <fill>
        <patternFill>
          <bgColor rgb="FFC6EFCE"/>
        </patternFill>
      </fill>
    </dxf>
    <dxf>
      <font>
        <name val="Arial"/>
        <charset val="1"/>
        <family val="0"/>
        <color rgb="FF9C0006"/>
        <sz val="8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E8EF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05050"/>
      <rgbColor rgb="FF969696"/>
      <rgbColor rgb="FF003366"/>
      <rgbColor rgb="FF339966"/>
      <rgbColor rgb="FF276221"/>
      <rgbColor rgb="FF404040"/>
      <rgbColor rgb="FF993300"/>
      <rgbColor rgb="FF993366"/>
      <rgbColor rgb="FF2E4A6B"/>
      <rgbColor rgb="FF1F2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7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8"/>
    <col collapsed="false" customWidth="true" hidden="false" outlineLevel="0" max="10" min="3" style="1" width="12"/>
  </cols>
  <sheetData>
    <row r="1" customFormat="false" ht="27.75" hidden="false" customHeight="true" outlineLevel="0" collapsed="false">
      <c r="B1" s="2" t="s">
        <v>0</v>
      </c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B2" s="3" t="s">
        <v>1</v>
      </c>
      <c r="C2" s="3"/>
      <c r="D2" s="3"/>
      <c r="E2" s="3"/>
      <c r="F2" s="3"/>
      <c r="G2" s="3"/>
      <c r="H2" s="3"/>
      <c r="I2" s="3"/>
    </row>
    <row r="4" customFormat="false" ht="15" hidden="false" customHeight="true" outlineLevel="0" collapsed="false">
      <c r="B4" s="4" t="s">
        <v>2</v>
      </c>
      <c r="C4" s="4"/>
      <c r="D4" s="4"/>
      <c r="E4" s="4"/>
      <c r="F4" s="5" t="s">
        <v>3</v>
      </c>
      <c r="G4" s="5"/>
      <c r="H4" s="5"/>
      <c r="I4" s="5"/>
    </row>
    <row r="5" customFormat="false" ht="15" hidden="false" customHeight="true" outlineLevel="0" collapsed="false">
      <c r="B5" s="6" t="s">
        <v>4</v>
      </c>
      <c r="C5" s="7" t="n">
        <v>0.0405</v>
      </c>
      <c r="F5" s="8" t="s">
        <v>5</v>
      </c>
      <c r="G5" s="8"/>
      <c r="H5" s="8"/>
      <c r="I5" s="8"/>
    </row>
    <row r="6" customFormat="false" ht="15" hidden="false" customHeight="true" outlineLevel="0" collapsed="false">
      <c r="B6" s="6" t="s">
        <v>6</v>
      </c>
      <c r="C6" s="7" t="n">
        <v>0.045</v>
      </c>
      <c r="F6" s="8" t="s">
        <v>7</v>
      </c>
      <c r="G6" s="8"/>
      <c r="H6" s="8"/>
      <c r="I6" s="8"/>
    </row>
    <row r="7" customFormat="false" ht="15" hidden="false" customHeight="true" outlineLevel="0" collapsed="false">
      <c r="B7" s="6" t="s">
        <v>8</v>
      </c>
      <c r="C7" s="9" t="n">
        <v>1.73</v>
      </c>
      <c r="F7" s="8" t="s">
        <v>9</v>
      </c>
      <c r="G7" s="8"/>
      <c r="H7" s="8"/>
      <c r="I7" s="8"/>
    </row>
    <row r="8" customFormat="false" ht="15" hidden="false" customHeight="true" outlineLevel="0" collapsed="false">
      <c r="B8" s="6" t="s">
        <v>10</v>
      </c>
      <c r="C8" s="10" t="n">
        <f aca="false">C5+C7*C6</f>
        <v>0.11835</v>
      </c>
      <c r="F8" s="8" t="s">
        <v>11</v>
      </c>
      <c r="G8" s="8"/>
      <c r="H8" s="8"/>
      <c r="I8" s="8"/>
    </row>
    <row r="9" customFormat="false" ht="15" hidden="false" customHeight="true" outlineLevel="0" collapsed="false">
      <c r="B9" s="6" t="s">
        <v>12</v>
      </c>
      <c r="C9" s="7" t="n">
        <v>0.0292</v>
      </c>
      <c r="F9" s="8" t="s">
        <v>13</v>
      </c>
      <c r="G9" s="8"/>
      <c r="H9" s="8"/>
      <c r="I9" s="8"/>
    </row>
    <row r="10" customFormat="false" ht="15" hidden="false" customHeight="true" outlineLevel="0" collapsed="false">
      <c r="B10" s="6" t="s">
        <v>14</v>
      </c>
      <c r="C10" s="7" t="n">
        <v>0.1265</v>
      </c>
      <c r="F10" s="8" t="s">
        <v>15</v>
      </c>
      <c r="G10" s="8"/>
      <c r="H10" s="8"/>
      <c r="I10" s="8"/>
    </row>
    <row r="11" customFormat="false" ht="15" hidden="false" customHeight="true" outlineLevel="0" collapsed="false">
      <c r="B11" s="6" t="s">
        <v>16</v>
      </c>
      <c r="C11" s="10" t="n">
        <f aca="false">C9*(1-C10)</f>
        <v>0.0255062</v>
      </c>
      <c r="F11" s="8" t="s">
        <v>17</v>
      </c>
      <c r="G11" s="8"/>
      <c r="H11" s="8"/>
      <c r="I11" s="8"/>
    </row>
    <row r="12" customFormat="false" ht="15" hidden="false" customHeight="true" outlineLevel="0" collapsed="false">
      <c r="B12" s="6" t="s">
        <v>18</v>
      </c>
      <c r="C12" s="11" t="n">
        <v>4408000</v>
      </c>
      <c r="F12" s="8" t="s">
        <v>19</v>
      </c>
      <c r="G12" s="8"/>
      <c r="H12" s="8"/>
      <c r="I12" s="8"/>
    </row>
    <row r="13" customFormat="false" ht="15" hidden="false" customHeight="true" outlineLevel="0" collapsed="false">
      <c r="B13" s="6" t="s">
        <v>20</v>
      </c>
      <c r="C13" s="11" t="n">
        <v>8463</v>
      </c>
      <c r="F13" s="8" t="s">
        <v>21</v>
      </c>
      <c r="G13" s="8"/>
      <c r="H13" s="8"/>
      <c r="I13" s="8"/>
    </row>
    <row r="14" customFormat="false" ht="15" hidden="false" customHeight="true" outlineLevel="0" collapsed="false">
      <c r="B14" s="6" t="s">
        <v>22</v>
      </c>
      <c r="C14" s="12" t="n">
        <f aca="false">C12/(C12+C13)</f>
        <v>0.998083760692663</v>
      </c>
      <c r="F14" s="8" t="s">
        <v>23</v>
      </c>
      <c r="G14" s="8"/>
      <c r="H14" s="8"/>
      <c r="I14" s="8"/>
    </row>
    <row r="15" customFormat="false" ht="15" hidden="false" customHeight="true" outlineLevel="0" collapsed="false">
      <c r="B15" s="6" t="s">
        <v>24</v>
      </c>
      <c r="C15" s="12" t="n">
        <f aca="false">C13/(C12+C13)</f>
        <v>0.00191623930733712</v>
      </c>
      <c r="F15" s="8" t="s">
        <v>25</v>
      </c>
      <c r="G15" s="8"/>
      <c r="H15" s="8"/>
      <c r="I15" s="8"/>
    </row>
    <row r="16" customFormat="false" ht="15" hidden="false" customHeight="true" outlineLevel="0" collapsed="false">
      <c r="B16" s="6" t="s">
        <v>26</v>
      </c>
      <c r="C16" s="13" t="n">
        <f aca="false">C8*C14+C11*C15</f>
        <v>0.118172089060997</v>
      </c>
      <c r="F16" s="8" t="s">
        <v>27</v>
      </c>
      <c r="G16" s="8"/>
      <c r="H16" s="8"/>
      <c r="I16" s="8"/>
    </row>
    <row r="18" customFormat="false" ht="15" hidden="false" customHeight="true" outlineLevel="0" collapsed="false">
      <c r="B18" s="4" t="s">
        <v>28</v>
      </c>
      <c r="C18" s="4"/>
    </row>
    <row r="19" customFormat="false" ht="15" hidden="false" customHeight="true" outlineLevel="0" collapsed="false">
      <c r="B19" s="6" t="s">
        <v>29</v>
      </c>
      <c r="C19" s="7" t="n">
        <v>0.04</v>
      </c>
      <c r="F19" s="8" t="s">
        <v>30</v>
      </c>
      <c r="G19" s="8"/>
      <c r="H19" s="8"/>
      <c r="I19" s="8"/>
    </row>
    <row r="20" customFormat="false" ht="15" hidden="false" customHeight="true" outlineLevel="0" collapsed="false">
      <c r="B20" s="6" t="s">
        <v>31</v>
      </c>
      <c r="C20" s="10" t="n">
        <f aca="false">C10</f>
        <v>0.1265</v>
      </c>
      <c r="F20" s="8" t="s">
        <v>32</v>
      </c>
      <c r="G20" s="8"/>
      <c r="H20" s="8"/>
      <c r="I20" s="8"/>
    </row>
    <row r="21" customFormat="false" ht="15" hidden="false" customHeight="true" outlineLevel="0" collapsed="false">
      <c r="B21" s="6" t="s">
        <v>33</v>
      </c>
      <c r="C21" s="14" t="n">
        <v>24300</v>
      </c>
      <c r="F21" s="8" t="s">
        <v>34</v>
      </c>
      <c r="G21" s="8"/>
      <c r="H21" s="8"/>
      <c r="I21" s="8"/>
    </row>
    <row r="22" customFormat="false" ht="15" hidden="false" customHeight="true" outlineLevel="0" collapsed="false">
      <c r="B22" s="6" t="s">
        <v>35</v>
      </c>
      <c r="C22" s="11" t="n">
        <v>-34747</v>
      </c>
      <c r="F22" s="8" t="s">
        <v>36</v>
      </c>
      <c r="G22" s="8"/>
      <c r="H22" s="8"/>
      <c r="I22" s="8"/>
    </row>
    <row r="23" customFormat="false" ht="15" hidden="false" customHeight="true" outlineLevel="0" collapsed="false">
      <c r="B23" s="6" t="s">
        <v>37</v>
      </c>
      <c r="C23" s="15" t="n">
        <v>181.41</v>
      </c>
      <c r="F23" s="8" t="s">
        <v>38</v>
      </c>
      <c r="G23" s="8"/>
      <c r="H23" s="8"/>
      <c r="I23" s="8"/>
    </row>
    <row r="25" customFormat="false" ht="15" hidden="false" customHeight="true" outlineLevel="0" collapsed="false">
      <c r="B25" s="16" t="s">
        <v>39</v>
      </c>
      <c r="C25" s="16"/>
      <c r="D25" s="16"/>
      <c r="E25" s="16"/>
      <c r="F25" s="16"/>
      <c r="G25" s="16"/>
      <c r="H25" s="16"/>
      <c r="I25" s="16"/>
    </row>
    <row r="26" customFormat="false" ht="15" hidden="false" customHeight="true" outlineLevel="0" collapsed="false">
      <c r="B26" s="17"/>
      <c r="C26" s="18" t="s">
        <v>40</v>
      </c>
      <c r="D26" s="19" t="s">
        <v>41</v>
      </c>
      <c r="E26" s="19" t="s">
        <v>42</v>
      </c>
      <c r="F26" s="19" t="s">
        <v>43</v>
      </c>
      <c r="G26" s="19" t="s">
        <v>44</v>
      </c>
      <c r="H26" s="19" t="s">
        <v>45</v>
      </c>
    </row>
    <row r="27" customFormat="false" ht="15" hidden="false" customHeight="true" outlineLevel="0" collapsed="false">
      <c r="B27" s="4" t="s">
        <v>46</v>
      </c>
      <c r="C27" s="4"/>
      <c r="D27" s="4"/>
      <c r="E27" s="4"/>
      <c r="F27" s="4"/>
      <c r="G27" s="4"/>
      <c r="H27" s="4"/>
      <c r="I27" s="4"/>
    </row>
    <row r="28" customFormat="false" ht="15" hidden="false" customHeight="true" outlineLevel="0" collapsed="false">
      <c r="B28" s="6" t="s">
        <v>47</v>
      </c>
      <c r="C28" s="3" t="s">
        <v>48</v>
      </c>
      <c r="D28" s="20" t="n">
        <v>0.55</v>
      </c>
      <c r="E28" s="20" t="n">
        <v>0.3</v>
      </c>
      <c r="F28" s="20" t="n">
        <v>0.2</v>
      </c>
      <c r="G28" s="20" t="n">
        <v>0.15</v>
      </c>
      <c r="H28" s="20" t="n">
        <v>0.12</v>
      </c>
    </row>
    <row r="29" customFormat="false" ht="15" hidden="false" customHeight="true" outlineLevel="0" collapsed="false">
      <c r="B29" s="6" t="s">
        <v>49</v>
      </c>
      <c r="C29" s="3" t="s">
        <v>50</v>
      </c>
      <c r="D29" s="20" t="n">
        <v>0.615</v>
      </c>
      <c r="E29" s="20" t="n">
        <v>0.625</v>
      </c>
      <c r="F29" s="20" t="n">
        <v>0.63</v>
      </c>
      <c r="G29" s="20" t="n">
        <v>0.625</v>
      </c>
      <c r="H29" s="20" t="n">
        <v>0.62</v>
      </c>
    </row>
    <row r="30" customFormat="false" ht="15" hidden="false" customHeight="true" outlineLevel="0" collapsed="false">
      <c r="B30" s="6" t="s">
        <v>51</v>
      </c>
      <c r="C30" s="3" t="s">
        <v>52</v>
      </c>
      <c r="D30" s="20" t="n">
        <v>0.014</v>
      </c>
      <c r="E30" s="20" t="n">
        <v>0.013</v>
      </c>
      <c r="F30" s="20" t="n">
        <v>0.012</v>
      </c>
      <c r="G30" s="20" t="n">
        <v>0.012</v>
      </c>
      <c r="H30" s="20" t="n">
        <v>0.012</v>
      </c>
    </row>
    <row r="31" customFormat="false" ht="15" hidden="false" customHeight="true" outlineLevel="0" collapsed="false">
      <c r="B31" s="6" t="s">
        <v>53</v>
      </c>
      <c r="C31" s="3" t="s">
        <v>54</v>
      </c>
      <c r="D31" s="20" t="n">
        <v>0.025</v>
      </c>
      <c r="E31" s="20" t="n">
        <v>0.028</v>
      </c>
      <c r="F31" s="20" t="n">
        <v>0.03</v>
      </c>
      <c r="G31" s="20" t="n">
        <v>0.028</v>
      </c>
      <c r="H31" s="20" t="n">
        <v>0.026</v>
      </c>
    </row>
    <row r="32" customFormat="false" ht="15" hidden="false" customHeight="true" outlineLevel="0" collapsed="false">
      <c r="B32" s="6" t="s">
        <v>55</v>
      </c>
      <c r="C32" s="3" t="s">
        <v>56</v>
      </c>
      <c r="D32" s="20" t="n">
        <v>0.085</v>
      </c>
      <c r="E32" s="20" t="n">
        <v>0.075</v>
      </c>
      <c r="F32" s="20" t="n">
        <v>0.07</v>
      </c>
      <c r="G32" s="20" t="n">
        <v>0.065</v>
      </c>
      <c r="H32" s="20" t="n">
        <v>0.06</v>
      </c>
    </row>
    <row r="34" customFormat="false" ht="15" hidden="false" customHeight="true" outlineLevel="0" collapsed="false">
      <c r="B34" s="4" t="s">
        <v>57</v>
      </c>
      <c r="C34" s="4"/>
      <c r="D34" s="4"/>
      <c r="E34" s="4"/>
      <c r="F34" s="4"/>
      <c r="G34" s="4"/>
      <c r="H34" s="4"/>
      <c r="I34" s="4"/>
    </row>
    <row r="35" customFormat="false" ht="15" hidden="false" customHeight="true" outlineLevel="0" collapsed="false">
      <c r="B35" s="6" t="s">
        <v>58</v>
      </c>
      <c r="C35" s="21" t="n">
        <v>130497</v>
      </c>
      <c r="D35" s="22" t="n">
        <f aca="false">C35*(1+D28)</f>
        <v>202270.35</v>
      </c>
      <c r="E35" s="22" t="n">
        <f aca="false">D35*(1+E28)</f>
        <v>262951.455</v>
      </c>
      <c r="F35" s="22" t="n">
        <f aca="false">E35*(1+F28)</f>
        <v>315541.746</v>
      </c>
      <c r="G35" s="22" t="n">
        <f aca="false">F35*(1+G28)</f>
        <v>362873.0079</v>
      </c>
      <c r="H35" s="22" t="n">
        <f aca="false">G35*(1+H28)</f>
        <v>406417.768848</v>
      </c>
    </row>
    <row r="36" customFormat="false" ht="15" hidden="false" customHeight="true" outlineLevel="0" collapsed="false">
      <c r="B36" s="6" t="s">
        <v>59</v>
      </c>
      <c r="C36" s="21" t="n">
        <v>83317</v>
      </c>
      <c r="D36" s="22" t="n">
        <f aca="false">D35*D29</f>
        <v>124396.26525</v>
      </c>
      <c r="E36" s="22" t="n">
        <f aca="false">E35*E29</f>
        <v>164344.659375</v>
      </c>
      <c r="F36" s="22" t="n">
        <f aca="false">F35*F29</f>
        <v>198791.29998</v>
      </c>
      <c r="G36" s="22" t="n">
        <f aca="false">G35*G29</f>
        <v>226795.6299375</v>
      </c>
      <c r="H36" s="22" t="n">
        <f aca="false">H35*H29</f>
        <v>251979.01668576</v>
      </c>
    </row>
    <row r="37" customFormat="false" ht="15" hidden="false" customHeight="true" outlineLevel="0" collapsed="false">
      <c r="B37" s="6" t="s">
        <v>60</v>
      </c>
      <c r="C37" s="21" t="n">
        <v>1864</v>
      </c>
      <c r="D37" s="22" t="n">
        <f aca="false">D35*D30</f>
        <v>2831.7849</v>
      </c>
      <c r="E37" s="22" t="n">
        <f aca="false">E35*E30</f>
        <v>3418.368915</v>
      </c>
      <c r="F37" s="22" t="n">
        <f aca="false">F35*F30</f>
        <v>3786.500952</v>
      </c>
      <c r="G37" s="22" t="n">
        <f aca="false">G35*G30</f>
        <v>4354.4760948</v>
      </c>
      <c r="H37" s="22" t="n">
        <f aca="false">H35*H30</f>
        <v>4877.013226176</v>
      </c>
    </row>
    <row r="38" customFormat="false" ht="15" hidden="false" customHeight="true" outlineLevel="0" collapsed="false">
      <c r="B38" s="6" t="s">
        <v>61</v>
      </c>
      <c r="C38" s="21" t="n">
        <v>81453</v>
      </c>
      <c r="D38" s="22" t="n">
        <f aca="false">D36-D37</f>
        <v>121564.48035</v>
      </c>
      <c r="E38" s="22" t="n">
        <f aca="false">E36-E37</f>
        <v>160926.29046</v>
      </c>
      <c r="F38" s="22" t="n">
        <f aca="false">F36-F37</f>
        <v>195004.799028</v>
      </c>
      <c r="G38" s="22" t="n">
        <f aca="false">G36-G37</f>
        <v>222441.1538427</v>
      </c>
      <c r="H38" s="22" t="n">
        <f aca="false">H36-H37</f>
        <v>247102.003459584</v>
      </c>
    </row>
    <row r="39" customFormat="false" ht="15" hidden="false" customHeight="true" outlineLevel="0" collapsed="false">
      <c r="B39" s="6" t="s">
        <v>62</v>
      </c>
      <c r="C39" s="21" t="n">
        <v>71169</v>
      </c>
      <c r="D39" s="22" t="n">
        <f aca="false">D38*(1-$C$10)</f>
        <v>106186.573585725</v>
      </c>
      <c r="E39" s="22" t="n">
        <f aca="false">E38*(1-$C$10)</f>
        <v>140569.11471681</v>
      </c>
      <c r="F39" s="22" t="n">
        <f aca="false">F38*(1-$C$10)</f>
        <v>170336.691950958</v>
      </c>
      <c r="G39" s="22" t="n">
        <f aca="false">G38*(1-$C$10)</f>
        <v>194302.347881598</v>
      </c>
      <c r="H39" s="22" t="n">
        <f aca="false">H38*(1-$C$10)</f>
        <v>215843.600021947</v>
      </c>
    </row>
    <row r="40" customFormat="false" ht="15" hidden="false" customHeight="true" outlineLevel="0" collapsed="false">
      <c r="B40" s="6" t="s">
        <v>63</v>
      </c>
      <c r="C40" s="22" t="n">
        <f aca="false">C37</f>
        <v>1864</v>
      </c>
      <c r="D40" s="22" t="n">
        <f aca="false">D37</f>
        <v>2831.7849</v>
      </c>
      <c r="E40" s="22" t="n">
        <f aca="false">E37</f>
        <v>3418.368915</v>
      </c>
      <c r="F40" s="22" t="n">
        <f aca="false">F37</f>
        <v>3786.500952</v>
      </c>
      <c r="G40" s="22" t="n">
        <f aca="false">G37</f>
        <v>4354.4760948</v>
      </c>
      <c r="H40" s="22" t="n">
        <f aca="false">H37</f>
        <v>4877.013226176</v>
      </c>
    </row>
    <row r="41" customFormat="false" ht="15" hidden="false" customHeight="true" outlineLevel="0" collapsed="false">
      <c r="B41" s="6" t="s">
        <v>64</v>
      </c>
      <c r="C41" s="23" t="n">
        <v>-3236</v>
      </c>
      <c r="D41" s="24" t="n">
        <f aca="false">-D35*D31</f>
        <v>-5056.75875</v>
      </c>
      <c r="E41" s="24" t="n">
        <f aca="false">-E35*E31</f>
        <v>-7362.64074</v>
      </c>
      <c r="F41" s="24" t="n">
        <f aca="false">-F35*F31</f>
        <v>-9466.25238</v>
      </c>
      <c r="G41" s="24" t="n">
        <f aca="false">-G35*G31</f>
        <v>-10160.4442212</v>
      </c>
      <c r="H41" s="24" t="n">
        <f aca="false">-H35*H31</f>
        <v>-10566.861990048</v>
      </c>
    </row>
    <row r="42" customFormat="false" ht="15" hidden="false" customHeight="true" outlineLevel="0" collapsed="false">
      <c r="B42" s="6" t="s">
        <v>65</v>
      </c>
      <c r="C42" s="23" t="n">
        <v>-14980</v>
      </c>
      <c r="D42" s="24" t="n">
        <f aca="false">-(D35-C35)*D32</f>
        <v>-6100.73475</v>
      </c>
      <c r="E42" s="24" t="n">
        <f aca="false">-(E35-D35)*E32</f>
        <v>-4551.082875</v>
      </c>
      <c r="F42" s="24" t="n">
        <f aca="false">-(F35-E35)*F32</f>
        <v>-3681.32037</v>
      </c>
      <c r="G42" s="24" t="n">
        <f aca="false">-(G35-F35)*G32</f>
        <v>-3076.5320235</v>
      </c>
      <c r="H42" s="24" t="n">
        <f aca="false">-(H35-G35)*H32</f>
        <v>-2612.68565688</v>
      </c>
    </row>
    <row r="43" customFormat="false" ht="15" hidden="false" customHeight="true" outlineLevel="0" collapsed="false">
      <c r="B43" s="25" t="s">
        <v>66</v>
      </c>
      <c r="C43" s="26" t="n">
        <v>52817</v>
      </c>
      <c r="D43" s="27" t="n">
        <f aca="false">D39+D40+D41+D42</f>
        <v>97860.864985725</v>
      </c>
      <c r="E43" s="27" t="n">
        <f aca="false">E39+E40+E41+E42</f>
        <v>132073.76001681</v>
      </c>
      <c r="F43" s="27" t="n">
        <f aca="false">F39+F40+F41+F42</f>
        <v>160975.620152958</v>
      </c>
      <c r="G43" s="27" t="n">
        <f aca="false">G39+G40+G41+G42</f>
        <v>185419.847731698</v>
      </c>
      <c r="H43" s="27" t="n">
        <f aca="false">H39+H40+H41+H42</f>
        <v>207541.065601195</v>
      </c>
    </row>
    <row r="44" customFormat="false" ht="15" hidden="false" customHeight="true" outlineLevel="0" collapsed="false">
      <c r="B44" s="6" t="s">
        <v>67</v>
      </c>
      <c r="D44" s="28" t="n">
        <f aca="false">1/(1+$C$16)^1</f>
        <v>0.894316724395943</v>
      </c>
      <c r="E44" s="28" t="n">
        <f aca="false">1/(1+$C$16)^2</f>
        <v>0.799802403534289</v>
      </c>
      <c r="F44" s="28" t="n">
        <f aca="false">1/(1+$C$16)^3</f>
        <v>0.715276665692788</v>
      </c>
      <c r="G44" s="28" t="n">
        <f aca="false">1/(1+$C$16)^4</f>
        <v>0.639683884699226</v>
      </c>
      <c r="H44" s="28" t="n">
        <f aca="false">1/(1+$C$16)^5</f>
        <v>0.572079996413084</v>
      </c>
    </row>
    <row r="45" customFormat="false" ht="15" hidden="false" customHeight="true" outlineLevel="0" collapsed="false">
      <c r="B45" s="6" t="s">
        <v>68</v>
      </c>
      <c r="D45" s="22" t="n">
        <f aca="false">D43*D44</f>
        <v>87518.6082205872</v>
      </c>
      <c r="E45" s="22" t="n">
        <f aca="false">E43*E44</f>
        <v>105632.910705256</v>
      </c>
      <c r="F45" s="22" t="n">
        <f aca="false">F43*F44</f>
        <v>115142.104840837</v>
      </c>
      <c r="G45" s="22" t="n">
        <f aca="false">G43*G44</f>
        <v>118610.088497352</v>
      </c>
      <c r="H45" s="22" t="n">
        <f aca="false">H43*H44</f>
        <v>118730.092064699</v>
      </c>
    </row>
    <row r="47" customFormat="false" ht="15" hidden="false" customHeight="true" outlineLevel="0" collapsed="false">
      <c r="B47" s="4" t="s">
        <v>69</v>
      </c>
      <c r="C47" s="4"/>
      <c r="D47" s="4"/>
      <c r="E47" s="4"/>
      <c r="F47" s="4"/>
      <c r="G47" s="4"/>
      <c r="H47" s="4"/>
      <c r="I47" s="4"/>
    </row>
    <row r="48" customFormat="false" ht="15" hidden="false" customHeight="true" outlineLevel="0" collapsed="false">
      <c r="B48" s="6" t="s">
        <v>70</v>
      </c>
      <c r="C48" s="22" t="n">
        <f aca="false">H43*(1+$C$19)</f>
        <v>215842.708225242</v>
      </c>
    </row>
    <row r="49" customFormat="false" ht="15" hidden="false" customHeight="true" outlineLevel="0" collapsed="false">
      <c r="B49" s="6" t="s">
        <v>71</v>
      </c>
      <c r="C49" s="22" t="n">
        <f aca="false">C48/($C$16-$C$19)</f>
        <v>2761122.42640491</v>
      </c>
    </row>
    <row r="50" customFormat="false" ht="15" hidden="false" customHeight="true" outlineLevel="0" collapsed="false">
      <c r="B50" s="6" t="s">
        <v>72</v>
      </c>
      <c r="C50" s="27" t="n">
        <f aca="false">C49*H44</f>
        <v>1579582.90779381</v>
      </c>
    </row>
    <row r="51" customFormat="false" ht="15" hidden="false" customHeight="true" outlineLevel="0" collapsed="false">
      <c r="B51" s="6" t="s">
        <v>73</v>
      </c>
      <c r="C51" s="29" t="n">
        <f aca="false">C50/(SUM(D45:H45)+C50)</f>
        <v>0.743257334079693</v>
      </c>
    </row>
    <row r="53" customFormat="false" ht="15" hidden="false" customHeight="true" outlineLevel="0" collapsed="false">
      <c r="B53" s="4" t="s">
        <v>74</v>
      </c>
      <c r="C53" s="4"/>
      <c r="D53" s="4"/>
      <c r="E53" s="4"/>
      <c r="F53" s="4"/>
      <c r="G53" s="4"/>
      <c r="H53" s="4"/>
      <c r="I53" s="4"/>
    </row>
    <row r="54" customFormat="false" ht="15" hidden="false" customHeight="true" outlineLevel="0" collapsed="false">
      <c r="B54" s="6" t="s">
        <v>75</v>
      </c>
      <c r="C54" s="22" t="n">
        <f aca="false">SUM(D45:H45)</f>
        <v>545633.80432873</v>
      </c>
    </row>
    <row r="55" customFormat="false" ht="15" hidden="false" customHeight="true" outlineLevel="0" collapsed="false">
      <c r="B55" s="6" t="s">
        <v>76</v>
      </c>
      <c r="C55" s="22" t="n">
        <f aca="false">C50</f>
        <v>1579582.90779381</v>
      </c>
    </row>
    <row r="56" customFormat="false" ht="15" hidden="false" customHeight="true" outlineLevel="0" collapsed="false">
      <c r="B56" s="6" t="s">
        <v>77</v>
      </c>
      <c r="C56" s="27" t="n">
        <f aca="false">C54+C55</f>
        <v>2125216.71212254</v>
      </c>
    </row>
    <row r="57" customFormat="false" ht="15" hidden="false" customHeight="true" outlineLevel="0" collapsed="false">
      <c r="B57" s="6" t="s">
        <v>78</v>
      </c>
      <c r="C57" s="22" t="n">
        <f aca="false">C22</f>
        <v>-34747</v>
      </c>
    </row>
    <row r="58" customFormat="false" ht="15" hidden="false" customHeight="true" outlineLevel="0" collapsed="false">
      <c r="B58" s="6" t="s">
        <v>79</v>
      </c>
      <c r="C58" s="27" t="n">
        <f aca="false">C56+C57</f>
        <v>2090469.71212254</v>
      </c>
    </row>
    <row r="59" customFormat="false" ht="15" hidden="false" customHeight="true" outlineLevel="0" collapsed="false">
      <c r="B59" s="6" t="s">
        <v>33</v>
      </c>
      <c r="C59" s="30" t="n">
        <f aca="false">C21</f>
        <v>24300</v>
      </c>
    </row>
    <row r="60" customFormat="false" ht="15" hidden="false" customHeight="true" outlineLevel="0" collapsed="false">
      <c r="B60" s="6" t="s">
        <v>80</v>
      </c>
      <c r="C60" s="31" t="n">
        <f aca="false">C58/C59</f>
        <v>86.0275601696518</v>
      </c>
    </row>
    <row r="61" customFormat="false" ht="15" hidden="false" customHeight="true" outlineLevel="0" collapsed="false">
      <c r="B61" s="6" t="s">
        <v>81</v>
      </c>
      <c r="C61" s="32" t="n">
        <f aca="false">C23</f>
        <v>181.41</v>
      </c>
    </row>
    <row r="62" customFormat="false" ht="15" hidden="false" customHeight="true" outlineLevel="0" collapsed="false">
      <c r="B62" s="6" t="s">
        <v>82</v>
      </c>
      <c r="C62" s="33" t="n">
        <f aca="false">(C60/C61)-1</f>
        <v>-0.525783803706236</v>
      </c>
    </row>
    <row r="65" customFormat="false" ht="15" hidden="false" customHeight="true" outlineLevel="0" collapsed="false">
      <c r="B65" s="4" t="s">
        <v>83</v>
      </c>
      <c r="C65" s="4"/>
      <c r="D65" s="4"/>
      <c r="E65" s="4"/>
      <c r="F65" s="4"/>
      <c r="G65" s="4"/>
      <c r="H65" s="4"/>
      <c r="I65" s="4"/>
    </row>
    <row r="66" customFormat="false" ht="15" hidden="false" customHeight="true" outlineLevel="0" collapsed="false">
      <c r="B66" s="34" t="s">
        <v>84</v>
      </c>
      <c r="C66" s="35" t="n">
        <v>0.025</v>
      </c>
      <c r="D66" s="35" t="n">
        <v>0.03</v>
      </c>
      <c r="E66" s="35" t="n">
        <v>0.035</v>
      </c>
      <c r="F66" s="35" t="n">
        <v>0.04</v>
      </c>
      <c r="G66" s="35" t="n">
        <v>0.045</v>
      </c>
      <c r="H66" s="35" t="n">
        <v>0.05</v>
      </c>
    </row>
    <row r="67" customFormat="false" ht="15" hidden="false" customHeight="true" outlineLevel="0" collapsed="false">
      <c r="B67" s="35" t="n">
        <v>0.0785</v>
      </c>
      <c r="C67" s="36" t="n">
        <f aca="false">(C43*(1/(1+0.0785)^1)+D43*(1/(1+0.0785)^2)+E43*(1/(1+0.0785)^3)+F43*(1/(1+0.0785)^4)+G43*(1/(1+0.0785)^5)+(H43*(1+0.025))/(0.0785-0.025)/(1+0.0785)^5+C57)/C21</f>
        <v>130.647730945393</v>
      </c>
      <c r="D67" s="36" t="n">
        <f aca="false">(C43*(1/(1+0.0785)^1)+D43*(1/(1+0.0785)^2)+E43*(1/(1+0.0785)^3)+F43*(1/(1+0.0785)^4)+G43*(1/(1+0.0785)^5)+(H43*(1+0.03))/(0.0785-0.03)/(1+0.0785)^5+C57)/C21</f>
        <v>142.81215789253</v>
      </c>
      <c r="E67" s="36" t="n">
        <f aca="false">(C43*(1/(1+0.0785)^1)+D43*(1/(1+0.0785)^2)+E43*(1/(1+0.0785)^3)+F43*(1/(1+0.0785)^4)+G43*(1/(1+0.0785)^5)+(H43*(1+0.035))/(0.0785-0.035)/(1+0.0785)^5+C57)/C21</f>
        <v>157.773004827515</v>
      </c>
      <c r="F67" s="36" t="n">
        <f aca="false">(C43*(1/(1+0.0785)^1)+D43*(1/(1+0.0785)^2)+E43*(1/(1+0.0785)^3)+F43*(1/(1+0.0785)^4)+G43*(1/(1+0.0785)^5)+(H43*(1+0.04))/(0.0785-0.04)/(1+0.0785)^5+C57)/C21</f>
        <v>176.619786031327</v>
      </c>
      <c r="G67" s="36" t="n">
        <f aca="false">(C43*(1/(1+0.0785)^1)+D43*(1/(1+0.0785)^2)+E43*(1/(1+0.0785)^3)+F43*(1/(1+0.0785)^4)+G43*(1/(1+0.0785)^5)+(H43*(1+0.045))/(0.0785-0.045)/(1+0.0785)^5+C57)/C21</f>
        <v>201.092472072098</v>
      </c>
      <c r="H67" s="36" t="n">
        <f aca="false">(C43*(1/(1+0.0785)^1)+D43*(1/(1+0.0785)^2)+E43*(1/(1+0.0785)^3)+F43*(1/(1+0.0785)^4)+G43*(1/(1+0.0785)^5)+(H43*(1+0.05))/(0.0785-0.05)/(1+0.0785)^5+C57)/C21</f>
        <v>234.152065495596</v>
      </c>
    </row>
    <row r="68" customFormat="false" ht="15" hidden="false" customHeight="true" outlineLevel="0" collapsed="false">
      <c r="B68" s="35" t="n">
        <v>0.0835</v>
      </c>
      <c r="C68" s="36" t="n">
        <f aca="false">(C43*(1/(1+0.0835)^1)+D43*(1/(1+0.0835)^2)+E43*(1/(1+0.0835)^3)+F43*(1/(1+0.0835)^4)+G43*(1/(1+0.0835)^5)+(H43*(1+0.025))/(0.0835-0.025)/(1+0.0835)^5+C57)/C21</f>
        <v>118.408182910906</v>
      </c>
      <c r="D68" s="36" t="n">
        <f aca="false">(C43*(1/(1+0.0835)^1)+D43*(1/(1+0.0835)^2)+E43*(1/(1+0.0835)^3)+F43*(1/(1+0.0835)^4)+G43*(1/(1+0.0835)^5)+(H43*(1+0.03))/(0.0835-0.03)/(1+0.0835)^5+C57)/C21</f>
        <v>128.30834858299</v>
      </c>
      <c r="E68" s="36" t="n">
        <f aca="false">(C43*(1/(1+0.0835)^1)+D43*(1/(1+0.0835)^2)+E43*(1/(1+0.0835)^3)+F43*(1/(1+0.0835)^4)+G43*(1/(1+0.0835)^5)+(H43*(1+0.035))/(0.0835-0.035)/(1+0.0835)^5+C57)/C21</f>
        <v>140.249785527669</v>
      </c>
      <c r="F68" s="36" t="n">
        <f aca="false">(C43*(1/(1+0.0835)^1)+D43*(1/(1+0.0835)^2)+E43*(1/(1+0.0835)^3)+F43*(1/(1+0.0835)^4)+G43*(1/(1+0.0835)^5)+(H43*(1+0.04))/(0.0835-0.04)/(1+0.0835)^5+C57)/C21</f>
        <v>154.936380390665</v>
      </c>
      <c r="G68" s="36" t="n">
        <f aca="false">(C43*(1/(1+0.0835)^1)+D43*(1/(1+0.0835)^2)+E43*(1/(1+0.0835)^3)+F43*(1/(1+0.0835)^4)+G43*(1/(1+0.0835)^5)+(H43*(1+0.045))/(0.0835-0.045)/(1+0.0835)^5+C57)/C21</f>
        <v>173.437675218075</v>
      </c>
      <c r="H68" s="36" t="n">
        <f aca="false">(C43*(1/(1+0.0835)^1)+D43*(1/(1+0.0835)^2)+E43*(1/(1+0.0835)^3)+F43*(1/(1+0.0835)^4)+G43*(1/(1+0.0835)^5)+(H43*(1+0.05))/(0.0835-0.05)/(1+0.0835)^5+C57)/C21</f>
        <v>197.461744620832</v>
      </c>
    </row>
    <row r="69" customFormat="false" ht="15" hidden="false" customHeight="true" outlineLevel="0" collapsed="false">
      <c r="B69" s="35" t="n">
        <v>0.0885</v>
      </c>
      <c r="C69" s="36" t="n">
        <f aca="false">(C43*(1/(1+0.0885)^1)+D43*(1/(1+0.0885)^2)+E43*(1/(1+0.0885)^3)+F43*(1/(1+0.0885)^4)+G43*(1/(1+0.0885)^5)+(H43*(1+0.025))/(0.0885-0.025)/(1+0.0885)^5+C57)/C21</f>
        <v>108.113187426957</v>
      </c>
      <c r="D69" s="36" t="n">
        <f aca="false">(C43*(1/(1+0.0885)^1)+D43*(1/(1+0.0885)^2)+E43*(1/(1+0.0885)^3)+F43*(1/(1+0.0885)^4)+G43*(1/(1+0.0885)^5)+(H43*(1+0.03))/(0.0885-0.03)/(1+0.0885)^5+C57)/C21</f>
        <v>116.302066316449</v>
      </c>
      <c r="E69" s="36" t="n">
        <f aca="false">(C43*(1/(1+0.0885)^1)+D43*(1/(1+0.0885)^2)+E43*(1/(1+0.0885)^3)+F43*(1/(1+0.0885)^4)+G43*(1/(1+0.0885)^5)+(H43*(1+0.035))/(0.0885-0.035)/(1+0.0885)^5+C57)/C21</f>
        <v>126.02157677407</v>
      </c>
      <c r="F69" s="36" t="n">
        <f aca="false">(C43*(1/(1+0.0885)^1)+D43*(1/(1+0.0885)^2)+E43*(1/(1+0.0885)^3)+F43*(1/(1+0.0885)^4)+G43*(1/(1+0.0885)^5)+(H43*(1+0.04))/(0.0885-0.04)/(1+0.0885)^5+C57)/C21</f>
        <v>137.745110006458</v>
      </c>
      <c r="G69" s="36" t="n">
        <f aca="false">(C43*(1/(1+0.0885)^1)+D43*(1/(1+0.0885)^2)+E43*(1/(1+0.0885)^3)+F43*(1/(1+0.0885)^4)+G43*(1/(1+0.0885)^5)+(H43*(1+0.045))/(0.0885-0.045)/(1+0.0885)^5+C57)/C21</f>
        <v>152.16370834974</v>
      </c>
      <c r="H69" s="36" t="n">
        <f aca="false">(C43*(1/(1+0.0885)^1)+D43*(1/(1+0.0885)^2)+E43*(1/(1+0.0885)^3)+F43*(1/(1+0.0885)^4)+G43*(1/(1+0.0885)^5)+(H43*(1+0.05))/(0.0885-0.05)/(1+0.0885)^5+C57)/C21</f>
        <v>170.327397171796</v>
      </c>
    </row>
    <row r="70" customFormat="false" ht="15" hidden="false" customHeight="true" outlineLevel="0" collapsed="false">
      <c r="B70" s="35" t="n">
        <v>0.0935</v>
      </c>
      <c r="C70" s="36" t="n">
        <f aca="false">(C43*(1/(1+0.0935)^1)+D43*(1/(1+0.0935)^2)+E43*(1/(1+0.0935)^3)+F43*(1/(1+0.0935)^4)+G43*(1/(1+0.0935)^5)+(H43*(1+0.025))/(0.0935-0.025)/(1+0.0935)^5+C57)/C21</f>
        <v>99.3365195336843</v>
      </c>
      <c r="D70" s="36" t="n">
        <f aca="false">(C43*(1/(1+0.0935)^1)+D43*(1/(1+0.0935)^2)+E43*(1/(1+0.0935)^3)+F43*(1/(1+0.0935)^4)+G43*(1/(1+0.0935)^5)+(H43*(1+0.03))/(0.0935-0.03)/(1+0.0935)^5+C57)/C21</f>
        <v>106.202907315238</v>
      </c>
      <c r="E70" s="36" t="n">
        <f aca="false">(C43*(1/(1+0.0935)^1)+D43*(1/(1+0.0935)^2)+E43*(1/(1+0.0935)^3)+F43*(1/(1+0.0935)^4)+G43*(1/(1+0.0935)^5)+(H43*(1+0.035))/(0.0935-0.035)/(1+0.0935)^5+C57)/C21</f>
        <v>114.243036597912</v>
      </c>
      <c r="F70" s="36" t="n">
        <f aca="false">(C43*(1/(1+0.0935)^1)+D43*(1/(1+0.0935)^2)+E43*(1/(1+0.0935)^3)+F43*(1/(1+0.0935)^4)+G43*(1/(1+0.0935)^5)+(H43*(1+0.04))/(0.0935-0.04)/(1+0.0935)^5+C57)/C21</f>
        <v>123.785993783889</v>
      </c>
      <c r="G70" s="36" t="n">
        <f aca="false">(C43*(1/(1+0.0935)^1)+D43*(1/(1+0.0935)^2)+E43*(1/(1+0.0935)^3)+F43*(1/(1+0.0935)^4)+G43*(1/(1+0.0935)^5)+(H43*(1+0.045))/(0.0935-0.045)/(1+0.0935)^5+C57)/C21</f>
        <v>135.296571008213</v>
      </c>
      <c r="H70" s="36" t="n">
        <f aca="false">(C43*(1/(1+0.0935)^1)+D43*(1/(1+0.0935)^2)+E43*(1/(1+0.0935)^3)+F43*(1/(1+0.0935)^4)+G43*(1/(1+0.0935)^5)+(H43*(1+0.05))/(0.0935-0.05)/(1+0.0935)^5+C57)/C21</f>
        <v>149.453257939277</v>
      </c>
    </row>
    <row r="71" customFormat="false" ht="15" hidden="false" customHeight="true" outlineLevel="0" collapsed="false">
      <c r="B71" s="35" t="n">
        <v>0.0985</v>
      </c>
      <c r="C71" s="36" t="n">
        <f aca="false">(C43*(1/(1+0.0985)^1)+D43*(1/(1+0.0985)^2)+E43*(1/(1+0.0985)^3)+F43*(1/(1+0.0985)^4)+G43*(1/(1+0.0985)^5)+(H43*(1+0.025))/(0.0985-0.025)/(1+0.0985)^5+C57)/C21</f>
        <v>91.7679459386794</v>
      </c>
      <c r="D71" s="36" t="n">
        <f aca="false">(C43*(1/(1+0.0985)^1)+D43*(1/(1+0.0985)^2)+E43*(1/(1+0.0985)^3)+F43*(1/(1+0.0985)^4)+G43*(1/(1+0.0985)^5)+(H43*(1+0.03))/(0.0985-0.03)/(1+0.0985)^5+C57)/C21</f>
        <v>97.5928612750313</v>
      </c>
      <c r="E71" s="36" t="n">
        <f aca="false">(C43*(1/(1+0.0985)^1)+D43*(1/(1+0.0985)^2)+E43*(1/(1+0.0985)^3)+F43*(1/(1+0.0985)^4)+G43*(1/(1+0.0985)^5)+(H43*(1+0.035))/(0.0985-0.035)/(1+0.0985)^5+C57)/C21</f>
        <v>104.335086113171</v>
      </c>
      <c r="F71" s="36" t="n">
        <f aca="false">(C43*(1/(1+0.0985)^1)+D43*(1/(1+0.0985)^2)+E43*(1/(1+0.0985)^3)+F43*(1/(1+0.0985)^4)+G43*(1/(1+0.0985)^5)+(H43*(1+0.04))/(0.0985-0.04)/(1+0.0985)^5+C57)/C21</f>
        <v>112.229828017659</v>
      </c>
      <c r="G71" s="36" t="n">
        <f aca="false">(C43*(1/(1+0.0985)^1)+D43*(1/(1+0.0985)^2)+E43*(1/(1+0.0985)^3)+F43*(1/(1+0.0985)^4)+G43*(1/(1+0.0985)^5)+(H43*(1+0.045))/(0.0985-0.045)/(1+0.0985)^5+C57)/C21</f>
        <v>121.600222614575</v>
      </c>
      <c r="H71" s="36" t="n">
        <f aca="false">(C43*(1/(1+0.0985)^1)+D43*(1/(1+0.0985)^2)+E43*(1/(1+0.0985)^3)+F43*(1/(1+0.0985)^4)+G43*(1/(1+0.0985)^5)+(H43*(1+0.05))/(0.0985-0.05)/(1+0.0985)^5+C57)/C21</f>
        <v>132.902657334567</v>
      </c>
    </row>
    <row r="73" customFormat="false" ht="15" hidden="false" customHeight="true" outlineLevel="0" collapsed="false">
      <c r="B73" s="37" t="s">
        <v>85</v>
      </c>
      <c r="C73" s="37"/>
      <c r="D73" s="37"/>
      <c r="E73" s="37"/>
      <c r="F73" s="37"/>
      <c r="G73" s="37"/>
      <c r="H73" s="37"/>
      <c r="I73" s="37"/>
    </row>
  </sheetData>
  <mergeCells count="29">
    <mergeCell ref="B1:I1"/>
    <mergeCell ref="B2:I2"/>
    <mergeCell ref="B4:E4"/>
    <mergeCell ref="F4:I4"/>
    <mergeCell ref="F5:I5"/>
    <mergeCell ref="F6:I6"/>
    <mergeCell ref="F7:I7"/>
    <mergeCell ref="F8:I8"/>
    <mergeCell ref="F9:I9"/>
    <mergeCell ref="F10:I10"/>
    <mergeCell ref="F11:I11"/>
    <mergeCell ref="F12:I12"/>
    <mergeCell ref="F13:I13"/>
    <mergeCell ref="F14:I14"/>
    <mergeCell ref="F15:I15"/>
    <mergeCell ref="F16:I16"/>
    <mergeCell ref="B18:C18"/>
    <mergeCell ref="F19:I19"/>
    <mergeCell ref="F20:I20"/>
    <mergeCell ref="F21:I21"/>
    <mergeCell ref="F22:I22"/>
    <mergeCell ref="F23:I23"/>
    <mergeCell ref="B25:I25"/>
    <mergeCell ref="B27:I27"/>
    <mergeCell ref="B34:I34"/>
    <mergeCell ref="B47:I47"/>
    <mergeCell ref="B53:I53"/>
    <mergeCell ref="B65:I65"/>
    <mergeCell ref="B73:I73"/>
  </mergeCells>
  <conditionalFormatting sqref="C67:H71">
    <cfRule type="cellIs" priority="2" operator="greaterThanOrEqual" aboveAverage="0" equalAverage="0" bottom="0" percent="0" rank="0" text="" dxfId="0">
      <formula>$C$61</formula>
    </cfRule>
    <cfRule type="cellIs" priority="3" operator="lessThan" aboveAverage="0" equalAverage="0" bottom="0" percent="0" rank="0" text="" dxfId="1">
      <formula>$C$61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0"/>
    <col collapsed="false" customWidth="true" hidden="false" outlineLevel="0" max="3" min="3" style="1" width="8"/>
    <col collapsed="false" customWidth="true" hidden="false" outlineLevel="0" max="8" min="4" style="1" width="12"/>
    <col collapsed="false" customWidth="true" hidden="false" outlineLevel="0" max="9" min="9" style="1" width="30"/>
  </cols>
  <sheetData>
    <row r="1" customFormat="false" ht="15" hidden="false" customHeight="true" outlineLevel="0" collapsed="false">
      <c r="B1" s="38" t="s">
        <v>86</v>
      </c>
      <c r="C1" s="38"/>
      <c r="D1" s="38"/>
      <c r="E1" s="38"/>
      <c r="F1" s="38"/>
      <c r="G1" s="38"/>
      <c r="H1" s="38"/>
    </row>
    <row r="2" customFormat="false" ht="15" hidden="false" customHeight="true" outlineLevel="0" collapsed="false">
      <c r="B2" s="39" t="s">
        <v>87</v>
      </c>
      <c r="C2" s="39"/>
      <c r="D2" s="39"/>
      <c r="E2" s="39"/>
      <c r="F2" s="39"/>
      <c r="G2" s="39"/>
      <c r="H2" s="39"/>
    </row>
    <row r="4" customFormat="false" ht="21.75" hidden="false" customHeight="true" outlineLevel="0" collapsed="false">
      <c r="B4" s="40" t="s">
        <v>88</v>
      </c>
      <c r="C4" s="40" t="s">
        <v>89</v>
      </c>
      <c r="D4" s="40" t="s">
        <v>90</v>
      </c>
      <c r="E4" s="40" t="s">
        <v>91</v>
      </c>
      <c r="F4" s="40" t="s">
        <v>92</v>
      </c>
      <c r="G4" s="40" t="s">
        <v>93</v>
      </c>
      <c r="H4" s="40" t="s">
        <v>94</v>
      </c>
    </row>
    <row r="5" customFormat="false" ht="31.5" hidden="false" customHeight="true" outlineLevel="0" collapsed="false">
      <c r="B5" s="41" t="s">
        <v>95</v>
      </c>
      <c r="C5" s="41" t="s">
        <v>96</v>
      </c>
      <c r="D5" s="42" t="s">
        <v>97</v>
      </c>
      <c r="E5" s="42" t="s">
        <v>98</v>
      </c>
      <c r="F5" s="42" t="s">
        <v>99</v>
      </c>
      <c r="G5" s="43" t="n">
        <f aca="false">D5/E5</f>
        <v>5.43816254416961</v>
      </c>
      <c r="H5" s="43" t="n">
        <f aca="false">D5/F5</f>
        <v>26.5344827586207</v>
      </c>
      <c r="I5" s="44" t="s">
        <v>100</v>
      </c>
    </row>
    <row r="6" customFormat="false" ht="31.5" hidden="false" customHeight="true" outlineLevel="0" collapsed="false">
      <c r="B6" s="45" t="s">
        <v>101</v>
      </c>
      <c r="C6" s="45" t="s">
        <v>102</v>
      </c>
      <c r="D6" s="46" t="s">
        <v>103</v>
      </c>
      <c r="E6" s="46" t="s">
        <v>104</v>
      </c>
      <c r="F6" s="46" t="s">
        <v>105</v>
      </c>
      <c r="G6" s="47" t="n">
        <f aca="false">D6/E6</f>
        <v>1.91304347826087</v>
      </c>
      <c r="H6" s="47" t="n">
        <f aca="false">D6/F6</f>
        <v>14.8823529411765</v>
      </c>
      <c r="I6" s="44" t="s">
        <v>106</v>
      </c>
    </row>
    <row r="7" customFormat="false" ht="31.5" hidden="false" customHeight="true" outlineLevel="0" collapsed="false">
      <c r="B7" s="41" t="s">
        <v>107</v>
      </c>
      <c r="C7" s="41" t="s">
        <v>108</v>
      </c>
      <c r="D7" s="42" t="s">
        <v>109</v>
      </c>
      <c r="E7" s="42" t="s">
        <v>110</v>
      </c>
      <c r="F7" s="42" t="s">
        <v>111</v>
      </c>
      <c r="G7" s="43" t="n">
        <f aca="false">D7/E7</f>
        <v>14.4605475040258</v>
      </c>
      <c r="H7" s="43" t="n">
        <f aca="false">D7/F7</f>
        <v>24.6027397260274</v>
      </c>
      <c r="I7" s="44" t="s">
        <v>112</v>
      </c>
    </row>
    <row r="8" customFormat="false" ht="31.5" hidden="false" customHeight="true" outlineLevel="0" collapsed="false">
      <c r="B8" s="45" t="s">
        <v>113</v>
      </c>
      <c r="C8" s="45" t="s">
        <v>114</v>
      </c>
      <c r="D8" s="46" t="s">
        <v>115</v>
      </c>
      <c r="E8" s="46" t="s">
        <v>116</v>
      </c>
      <c r="F8" s="46" t="s">
        <v>117</v>
      </c>
      <c r="G8" s="47" t="n">
        <f aca="false">D8/E8</f>
        <v>4.12941176470588</v>
      </c>
      <c r="H8" s="47" t="n">
        <f aca="false">D8/F8</f>
        <v>13.7109375</v>
      </c>
      <c r="I8" s="44" t="s">
        <v>118</v>
      </c>
    </row>
    <row r="9" customFormat="false" ht="31.5" hidden="false" customHeight="true" outlineLevel="0" collapsed="false">
      <c r="B9" s="41" t="s">
        <v>119</v>
      </c>
      <c r="C9" s="41" t="s">
        <v>120</v>
      </c>
      <c r="D9" s="42" t="s">
        <v>121</v>
      </c>
      <c r="E9" s="42" t="s">
        <v>122</v>
      </c>
      <c r="F9" s="42" t="s">
        <v>123</v>
      </c>
      <c r="G9" s="43" t="n">
        <f aca="false">D9/E9</f>
        <v>9.84375</v>
      </c>
      <c r="H9" s="43" t="n">
        <f aca="false">D9/F9</f>
        <v>35</v>
      </c>
      <c r="I9" s="44" t="s">
        <v>124</v>
      </c>
    </row>
    <row r="10" customFormat="false" ht="31.5" hidden="false" customHeight="true" outlineLevel="0" collapsed="false">
      <c r="B10" s="45" t="s">
        <v>125</v>
      </c>
      <c r="C10" s="45" t="s">
        <v>126</v>
      </c>
      <c r="D10" s="46" t="s">
        <v>127</v>
      </c>
      <c r="E10" s="46" t="s">
        <v>128</v>
      </c>
      <c r="F10" s="46" t="s">
        <v>129</v>
      </c>
      <c r="G10" s="47" t="n">
        <f aca="false">D10/E10</f>
        <v>3.05084745762712</v>
      </c>
      <c r="H10" s="47" t="n">
        <f aca="false">D10/F10</f>
        <v>8.92561983471074</v>
      </c>
      <c r="I10" s="44" t="s">
        <v>130</v>
      </c>
    </row>
    <row r="11" customFormat="false" ht="31.5" hidden="false" customHeight="true" outlineLevel="0" collapsed="false">
      <c r="B11" s="41" t="s">
        <v>131</v>
      </c>
      <c r="C11" s="41" t="s">
        <v>132</v>
      </c>
      <c r="D11" s="42" t="s">
        <v>133</v>
      </c>
      <c r="E11" s="42" t="s">
        <v>134</v>
      </c>
      <c r="F11" s="42" t="s">
        <v>135</v>
      </c>
      <c r="G11" s="43" t="n">
        <f aca="false">D11/E11</f>
        <v>9.26666666666667</v>
      </c>
      <c r="H11" s="43" t="n">
        <f aca="false">D11/F11</f>
        <v>25.7407407407407</v>
      </c>
      <c r="I11" s="44" t="s">
        <v>136</v>
      </c>
    </row>
    <row r="12" customFormat="false" ht="31.5" hidden="false" customHeight="true" outlineLevel="0" collapsed="false">
      <c r="B12" s="45" t="s">
        <v>137</v>
      </c>
      <c r="C12" s="45" t="s">
        <v>138</v>
      </c>
      <c r="D12" s="46" t="s">
        <v>139</v>
      </c>
      <c r="E12" s="46" t="s">
        <v>140</v>
      </c>
      <c r="F12" s="46" t="s">
        <v>141</v>
      </c>
      <c r="G12" s="47" t="n">
        <f aca="false">D12/E12</f>
        <v>9.7286012526096</v>
      </c>
      <c r="H12" s="47" t="n">
        <f aca="false">D12/F12</f>
        <v>19.8297872340426</v>
      </c>
      <c r="I12" s="44" t="s">
        <v>142</v>
      </c>
    </row>
    <row r="14" customFormat="false" ht="15" hidden="false" customHeight="true" outlineLevel="0" collapsed="false">
      <c r="B14" s="4" t="s">
        <v>143</v>
      </c>
      <c r="C14" s="4"/>
      <c r="D14" s="4"/>
      <c r="E14" s="4"/>
      <c r="F14" s="4"/>
      <c r="G14" s="4"/>
      <c r="H14" s="4"/>
    </row>
    <row r="15" customFormat="false" ht="15" hidden="false" customHeight="true" outlineLevel="0" collapsed="false">
      <c r="B15" s="48" t="s">
        <v>144</v>
      </c>
      <c r="C15" s="48"/>
      <c r="D15" s="48"/>
      <c r="E15" s="48"/>
      <c r="F15" s="48"/>
      <c r="G15" s="49" t="n">
        <f aca="false">AVERAGE(G5:G12)</f>
        <v>7.22887883350819</v>
      </c>
      <c r="H15" s="49" t="n">
        <f aca="false">AVERAGE(H5:H12)</f>
        <v>21.1533325919148</v>
      </c>
    </row>
    <row r="16" customFormat="false" ht="15" hidden="false" customHeight="true" outlineLevel="0" collapsed="false">
      <c r="B16" s="48" t="s">
        <v>145</v>
      </c>
      <c r="C16" s="48"/>
      <c r="D16" s="48"/>
      <c r="E16" s="48"/>
      <c r="F16" s="48"/>
      <c r="G16" s="49" t="n">
        <f aca="false">MEDIAN(G5:G12)</f>
        <v>7.35241460541814</v>
      </c>
      <c r="H16" s="49" t="n">
        <f aca="false">MEDIAN(H5:H12)</f>
        <v>22.216263480035</v>
      </c>
    </row>
    <row r="17" customFormat="false" ht="15" hidden="false" customHeight="true" outlineLevel="0" collapsed="false">
      <c r="B17" s="48" t="s">
        <v>146</v>
      </c>
      <c r="C17" s="48"/>
      <c r="D17" s="48"/>
      <c r="E17" s="48"/>
      <c r="F17" s="48"/>
      <c r="G17" s="49" t="n">
        <f aca="false">MAX(G5:G12)</f>
        <v>14.4605475040258</v>
      </c>
      <c r="H17" s="49" t="n">
        <f aca="false">MAX(H5:H12)</f>
        <v>35</v>
      </c>
    </row>
    <row r="18" customFormat="false" ht="15" hidden="false" customHeight="true" outlineLevel="0" collapsed="false">
      <c r="B18" s="48" t="s">
        <v>147</v>
      </c>
      <c r="C18" s="48"/>
      <c r="D18" s="48"/>
      <c r="E18" s="48"/>
      <c r="F18" s="48"/>
      <c r="G18" s="49" t="n">
        <f aca="false">MIN(G5:G12)</f>
        <v>1.91304347826087</v>
      </c>
      <c r="H18" s="49" t="n">
        <f aca="false">MIN(H5:H12)</f>
        <v>8.92561983471074</v>
      </c>
    </row>
    <row r="20" customFormat="false" ht="15" hidden="false" customHeight="true" outlineLevel="0" collapsed="false">
      <c r="B20" s="4" t="s">
        <v>148</v>
      </c>
      <c r="C20" s="4"/>
      <c r="D20" s="4"/>
      <c r="E20" s="4"/>
      <c r="F20" s="4"/>
      <c r="G20" s="4"/>
      <c r="H20" s="4"/>
    </row>
    <row r="21" customFormat="false" ht="39.75" hidden="false" customHeight="true" outlineLevel="0" collapsed="false">
      <c r="B21" s="50" t="s">
        <v>149</v>
      </c>
      <c r="C21" s="50"/>
      <c r="D21" s="50"/>
      <c r="E21" s="51" t="n">
        <v>38</v>
      </c>
      <c r="F21" s="52" t="s">
        <v>150</v>
      </c>
      <c r="G21" s="52"/>
      <c r="H21" s="52"/>
      <c r="I21" s="52"/>
    </row>
    <row r="22" customFormat="false" ht="15" hidden="false" customHeight="true" outlineLevel="0" collapsed="false">
      <c r="B22" s="17" t="s">
        <v>151</v>
      </c>
      <c r="C22" s="17"/>
      <c r="D22" s="17"/>
      <c r="E22" s="53" t="n">
        <v>83.3</v>
      </c>
    </row>
    <row r="23" customFormat="false" ht="15" hidden="false" customHeight="true" outlineLevel="0" collapsed="false">
      <c r="B23" s="50" t="s">
        <v>152</v>
      </c>
      <c r="C23" s="50"/>
      <c r="D23" s="50"/>
      <c r="E23" s="54" t="n">
        <f aca="false">E21*E22</f>
        <v>3165.4</v>
      </c>
      <c r="F23" s="55" t="s">
        <v>153</v>
      </c>
      <c r="G23" s="55"/>
      <c r="H23" s="55"/>
      <c r="I23" s="55"/>
    </row>
    <row r="24" customFormat="false" ht="15" hidden="false" customHeight="true" outlineLevel="0" collapsed="false">
      <c r="B24" s="56" t="s">
        <v>154</v>
      </c>
      <c r="C24" s="56"/>
      <c r="D24" s="56"/>
      <c r="E24" s="53" t="n">
        <v>34.7</v>
      </c>
      <c r="F24" s="55" t="s">
        <v>155</v>
      </c>
      <c r="G24" s="55"/>
      <c r="H24" s="55"/>
      <c r="I24" s="55"/>
    </row>
    <row r="25" customFormat="false" ht="15" hidden="false" customHeight="true" outlineLevel="0" collapsed="false">
      <c r="B25" s="50" t="s">
        <v>156</v>
      </c>
      <c r="C25" s="50"/>
      <c r="D25" s="50"/>
      <c r="E25" s="54" t="n">
        <f aca="false">E23+E24</f>
        <v>3200.1</v>
      </c>
      <c r="F25" s="55" t="s">
        <v>157</v>
      </c>
      <c r="G25" s="55"/>
      <c r="H25" s="55"/>
      <c r="I25" s="55"/>
    </row>
    <row r="26" customFormat="false" ht="15" hidden="false" customHeight="true" outlineLevel="0" collapsed="false">
      <c r="B26" s="56" t="s">
        <v>158</v>
      </c>
      <c r="C26" s="56"/>
      <c r="D26" s="56"/>
      <c r="E26" s="53" t="n">
        <v>24.3</v>
      </c>
      <c r="F26" s="55" t="s">
        <v>159</v>
      </c>
      <c r="G26" s="55"/>
      <c r="H26" s="55"/>
      <c r="I26" s="55"/>
    </row>
    <row r="27" customFormat="false" ht="15" hidden="false" customHeight="true" outlineLevel="0" collapsed="false">
      <c r="B27" s="50" t="s">
        <v>160</v>
      </c>
      <c r="C27" s="50"/>
      <c r="D27" s="50"/>
      <c r="E27" s="31" t="n">
        <f aca="false">E25/E26*1000</f>
        <v>131691.358024691</v>
      </c>
      <c r="F27" s="55" t="s">
        <v>161</v>
      </c>
      <c r="G27" s="55"/>
      <c r="H27" s="55"/>
      <c r="I27" s="55"/>
    </row>
    <row r="29" customFormat="false" ht="15" hidden="false" customHeight="true" outlineLevel="0" collapsed="false">
      <c r="B29" s="4" t="s">
        <v>162</v>
      </c>
      <c r="C29" s="4"/>
      <c r="D29" s="4"/>
      <c r="E29" s="4"/>
      <c r="F29" s="4"/>
      <c r="G29" s="4"/>
      <c r="H29" s="4"/>
    </row>
    <row r="30" customFormat="false" ht="15" hidden="false" customHeight="true" outlineLevel="0" collapsed="false">
      <c r="B30" s="34" t="s">
        <v>163</v>
      </c>
      <c r="C30" s="57" t="n">
        <v>75</v>
      </c>
      <c r="D30" s="57" t="n">
        <v>79.2</v>
      </c>
      <c r="E30" s="57" t="n">
        <v>83.3</v>
      </c>
      <c r="F30" s="57" t="n">
        <v>87.5</v>
      </c>
      <c r="G30" s="57" t="n">
        <v>91.6</v>
      </c>
    </row>
    <row r="31" customFormat="false" ht="15" hidden="false" customHeight="true" outlineLevel="0" collapsed="false">
      <c r="B31" s="58" t="n">
        <v>30</v>
      </c>
      <c r="C31" s="36" t="n">
        <v>94.0205761316873</v>
      </c>
      <c r="D31" s="36" t="n">
        <v>99.2057613168724</v>
      </c>
      <c r="E31" s="36" t="n">
        <v>104.267489711934</v>
      </c>
      <c r="F31" s="36" t="n">
        <v>109.452674897119</v>
      </c>
      <c r="G31" s="36" t="n">
        <v>114.514403292181</v>
      </c>
    </row>
    <row r="32" customFormat="false" ht="15" hidden="false" customHeight="true" outlineLevel="0" collapsed="false">
      <c r="B32" s="58" t="n">
        <v>32</v>
      </c>
      <c r="C32" s="36" t="n">
        <v>100.19341563786</v>
      </c>
      <c r="D32" s="36" t="n">
        <v>105.724279835391</v>
      </c>
      <c r="E32" s="36" t="n">
        <v>111.123456790124</v>
      </c>
      <c r="F32" s="36" t="n">
        <v>116.654320987654</v>
      </c>
      <c r="G32" s="36" t="n">
        <v>122.053497942387</v>
      </c>
    </row>
    <row r="33" customFormat="false" ht="15" hidden="false" customHeight="true" outlineLevel="0" collapsed="false">
      <c r="B33" s="58" t="n">
        <v>34</v>
      </c>
      <c r="C33" s="36" t="n">
        <v>106.366255144033</v>
      </c>
      <c r="D33" s="36" t="n">
        <v>112.24279835391</v>
      </c>
      <c r="E33" s="36" t="n">
        <v>117.979423868313</v>
      </c>
      <c r="F33" s="36" t="n">
        <v>123.855967078189</v>
      </c>
      <c r="G33" s="36" t="n">
        <v>129.592592592593</v>
      </c>
    </row>
    <row r="34" customFormat="false" ht="15" hidden="false" customHeight="true" outlineLevel="0" collapsed="false">
      <c r="B34" s="58" t="n">
        <v>36</v>
      </c>
      <c r="C34" s="36" t="n">
        <v>112.539094650206</v>
      </c>
      <c r="D34" s="36" t="n">
        <v>118.761316872428</v>
      </c>
      <c r="E34" s="36" t="n">
        <v>124.835390946502</v>
      </c>
      <c r="F34" s="36" t="n">
        <v>131.057613168724</v>
      </c>
      <c r="G34" s="36" t="n">
        <v>137.131687242798</v>
      </c>
    </row>
    <row r="35" customFormat="false" ht="15" hidden="false" customHeight="true" outlineLevel="0" collapsed="false">
      <c r="B35" s="58" t="n">
        <v>38</v>
      </c>
      <c r="C35" s="36" t="n">
        <v>118.711934156379</v>
      </c>
      <c r="D35" s="36" t="n">
        <v>125.279835390947</v>
      </c>
      <c r="E35" s="36" t="n">
        <v>131.691358024691</v>
      </c>
      <c r="F35" s="36" t="n">
        <v>138.259259259259</v>
      </c>
      <c r="G35" s="36" t="n">
        <v>144.670781893004</v>
      </c>
    </row>
    <row r="36" customFormat="false" ht="15" hidden="false" customHeight="true" outlineLevel="0" collapsed="false">
      <c r="B36" s="58" t="n">
        <v>40</v>
      </c>
      <c r="C36" s="36" t="n">
        <v>124.884773662551</v>
      </c>
      <c r="D36" s="36" t="n">
        <v>131.798353909465</v>
      </c>
      <c r="E36" s="36" t="n">
        <v>138.547325102881</v>
      </c>
      <c r="F36" s="36" t="n">
        <v>145.460905349794</v>
      </c>
      <c r="G36" s="36" t="n">
        <v>152.20987654321</v>
      </c>
    </row>
    <row r="37" customFormat="false" ht="15" hidden="false" customHeight="true" outlineLevel="0" collapsed="false">
      <c r="B37" s="58" t="n">
        <v>42</v>
      </c>
      <c r="C37" s="36" t="n">
        <v>131.057613168724</v>
      </c>
      <c r="D37" s="36" t="n">
        <v>138.316872427984</v>
      </c>
      <c r="E37" s="36" t="n">
        <v>145.40329218107</v>
      </c>
      <c r="F37" s="36" t="n">
        <v>152.662551440329</v>
      </c>
      <c r="G37" s="36" t="n">
        <v>159.748971193416</v>
      </c>
    </row>
  </sheetData>
  <mergeCells count="22">
    <mergeCell ref="B1:H1"/>
    <mergeCell ref="B2:H2"/>
    <mergeCell ref="B14:H14"/>
    <mergeCell ref="B15:F15"/>
    <mergeCell ref="B16:F16"/>
    <mergeCell ref="B17:F17"/>
    <mergeCell ref="B18:F18"/>
    <mergeCell ref="B20:H20"/>
    <mergeCell ref="B21:D21"/>
    <mergeCell ref="F21:I21"/>
    <mergeCell ref="B22:D22"/>
    <mergeCell ref="B23:D23"/>
    <mergeCell ref="F23:I23"/>
    <mergeCell ref="B24:D24"/>
    <mergeCell ref="F24:I24"/>
    <mergeCell ref="B25:D25"/>
    <mergeCell ref="F25:I25"/>
    <mergeCell ref="B26:D26"/>
    <mergeCell ref="F26:I26"/>
    <mergeCell ref="B27:D27"/>
    <mergeCell ref="F27:I27"/>
    <mergeCell ref="B29:H29"/>
  </mergeCells>
  <conditionalFormatting sqref="C31:G37">
    <cfRule type="cellIs" priority="2" operator="greaterThanOrEqual" aboveAverage="0" equalAverage="0" bottom="0" percent="0" rank="0" text="" dxfId="0">
      <formula>181.41</formula>
    </cfRule>
    <cfRule type="cellIs" priority="3" operator="lessThan" aboveAverage="0" equalAverage="0" bottom="0" percent="0" rank="0" text="" dxfId="1">
      <formula>181.41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0"/>
    <col collapsed="false" customWidth="true" hidden="false" outlineLevel="0" max="3" min="3" style="1" width="8"/>
    <col collapsed="false" customWidth="true" hidden="false" outlineLevel="0" max="9" min="4" style="1" width="10"/>
    <col collapsed="false" customWidth="true" hidden="false" outlineLevel="0" max="10" min="10" style="1" width="28"/>
  </cols>
  <sheetData>
    <row r="1" customFormat="false" ht="15" hidden="false" customHeight="true" outlineLevel="0" collapsed="false">
      <c r="B1" s="38" t="s">
        <v>164</v>
      </c>
      <c r="C1" s="38"/>
      <c r="D1" s="38"/>
      <c r="E1" s="38"/>
      <c r="F1" s="38"/>
      <c r="G1" s="38"/>
      <c r="H1" s="38"/>
      <c r="I1" s="38"/>
    </row>
    <row r="2" customFormat="false" ht="15" hidden="false" customHeight="true" outlineLevel="0" collapsed="false">
      <c r="B2" s="39" t="s">
        <v>165</v>
      </c>
      <c r="C2" s="39"/>
      <c r="D2" s="39"/>
      <c r="E2" s="39"/>
      <c r="F2" s="39"/>
      <c r="G2" s="39"/>
      <c r="H2" s="39"/>
      <c r="I2" s="39"/>
    </row>
    <row r="4" customFormat="false" ht="21.75" hidden="false" customHeight="true" outlineLevel="0" collapsed="false">
      <c r="B4" s="40" t="s">
        <v>88</v>
      </c>
      <c r="C4" s="40" t="s">
        <v>89</v>
      </c>
      <c r="D4" s="40" t="s">
        <v>166</v>
      </c>
      <c r="E4" s="40" t="s">
        <v>167</v>
      </c>
      <c r="F4" s="40" t="s">
        <v>168</v>
      </c>
      <c r="G4" s="40" t="s">
        <v>169</v>
      </c>
      <c r="H4" s="40" t="s">
        <v>170</v>
      </c>
      <c r="I4" s="40" t="s">
        <v>171</v>
      </c>
      <c r="J4" s="59" t="s">
        <v>171</v>
      </c>
      <c r="K4" s="18" t="s">
        <v>172</v>
      </c>
    </row>
    <row r="5" customFormat="false" ht="31.5" hidden="false" customHeight="true" outlineLevel="0" collapsed="false">
      <c r="B5" s="41" t="s">
        <v>95</v>
      </c>
      <c r="C5" s="41" t="s">
        <v>96</v>
      </c>
      <c r="D5" s="60" t="n">
        <v>198.62</v>
      </c>
      <c r="E5" s="60" t="n">
        <v>2.53</v>
      </c>
      <c r="F5" s="60" t="n">
        <v>3.81</v>
      </c>
      <c r="H5" s="43" t="n">
        <f aca="false">D5/E5</f>
        <v>78.505928853755</v>
      </c>
      <c r="I5" s="43" t="n">
        <f aca="false">D5/F5</f>
        <v>52.1312335958005</v>
      </c>
      <c r="J5" s="61" t="n">
        <v>0.35</v>
      </c>
      <c r="K5" s="62" t="n">
        <v>1.48946381702287</v>
      </c>
      <c r="L5" s="44" t="s">
        <v>173</v>
      </c>
    </row>
    <row r="6" customFormat="false" ht="31.5" hidden="false" customHeight="true" outlineLevel="0" collapsed="false">
      <c r="B6" s="45" t="s">
        <v>101</v>
      </c>
      <c r="C6" s="45" t="s">
        <v>102</v>
      </c>
      <c r="D6" s="63" t="n">
        <v>22.5</v>
      </c>
      <c r="E6" s="63" t="n">
        <v>0.38</v>
      </c>
      <c r="F6" s="63" t="n">
        <v>1.05</v>
      </c>
      <c r="H6" s="47" t="n">
        <f aca="false">D6/E6</f>
        <v>59.2105263157895</v>
      </c>
      <c r="I6" s="47" t="n">
        <f aca="false">D6/F6</f>
        <v>21.4285714285714</v>
      </c>
      <c r="J6" s="64"/>
      <c r="L6" s="44" t="s">
        <v>174</v>
      </c>
    </row>
    <row r="7" customFormat="false" ht="31.5" hidden="false" customHeight="true" outlineLevel="0" collapsed="false">
      <c r="B7" s="41" t="s">
        <v>107</v>
      </c>
      <c r="C7" s="41" t="s">
        <v>108</v>
      </c>
      <c r="D7" s="60" t="n">
        <v>237</v>
      </c>
      <c r="E7" s="60" t="n">
        <v>5.45</v>
      </c>
      <c r="F7" s="60" t="n">
        <v>7.2</v>
      </c>
      <c r="H7" s="43" t="n">
        <f aca="false">D7/E7</f>
        <v>43.4862385321101</v>
      </c>
      <c r="I7" s="43" t="n">
        <f aca="false">D7/F7</f>
        <v>32.9166666666667</v>
      </c>
      <c r="J7" s="61" t="n">
        <v>0.22</v>
      </c>
      <c r="K7" s="62" t="n">
        <v>1.49621212121212</v>
      </c>
      <c r="L7" s="44" t="s">
        <v>175</v>
      </c>
    </row>
    <row r="8" customFormat="false" ht="31.5" hidden="false" customHeight="true" outlineLevel="0" collapsed="false">
      <c r="B8" s="45" t="s">
        <v>113</v>
      </c>
      <c r="C8" s="45" t="s">
        <v>114</v>
      </c>
      <c r="D8" s="63" t="n">
        <v>166</v>
      </c>
      <c r="E8" s="63" t="n">
        <v>10.22</v>
      </c>
      <c r="F8" s="63" t="n">
        <v>10.8</v>
      </c>
      <c r="H8" s="47" t="n">
        <f aca="false">D8/E8</f>
        <v>16.2426614481409</v>
      </c>
      <c r="I8" s="47" t="n">
        <f aca="false">D8/F8</f>
        <v>15.3703703703704</v>
      </c>
      <c r="J8" s="65" t="n">
        <v>0.06</v>
      </c>
      <c r="K8" s="66" t="n">
        <v>2.56172839506173</v>
      </c>
      <c r="L8" s="44" t="s">
        <v>176</v>
      </c>
    </row>
    <row r="9" customFormat="false" ht="31.5" hidden="false" customHeight="true" outlineLevel="0" collapsed="false">
      <c r="B9" s="41" t="s">
        <v>119</v>
      </c>
      <c r="C9" s="41" t="s">
        <v>120</v>
      </c>
      <c r="D9" s="60" t="n">
        <v>74</v>
      </c>
      <c r="E9" s="60" t="n">
        <v>0.78</v>
      </c>
      <c r="F9" s="60" t="n">
        <v>2.18</v>
      </c>
      <c r="H9" s="43" t="n">
        <f aca="false">D9/E9</f>
        <v>94.8717948717949</v>
      </c>
      <c r="I9" s="43" t="n">
        <f aca="false">D9/F9</f>
        <v>33.9449541284404</v>
      </c>
      <c r="J9" s="61" t="n">
        <v>0.8</v>
      </c>
      <c r="K9" s="62" t="n">
        <v>0.424311926605505</v>
      </c>
      <c r="L9" s="44" t="s">
        <v>177</v>
      </c>
    </row>
    <row r="10" customFormat="false" ht="31.5" hidden="false" customHeight="true" outlineLevel="0" collapsed="false">
      <c r="B10" s="45" t="s">
        <v>125</v>
      </c>
      <c r="C10" s="45" t="s">
        <v>126</v>
      </c>
      <c r="D10" s="63" t="n">
        <v>412.67</v>
      </c>
      <c r="E10" s="63" t="n">
        <v>5.3</v>
      </c>
      <c r="F10" s="63" t="n">
        <v>9.5</v>
      </c>
      <c r="H10" s="47" t="n">
        <f aca="false">D10/E10</f>
        <v>77.8622641509434</v>
      </c>
      <c r="I10" s="47" t="n">
        <f aca="false">D10/F10</f>
        <v>43.4389473684211</v>
      </c>
      <c r="J10" s="65" t="n">
        <v>0.55</v>
      </c>
      <c r="K10" s="66" t="n">
        <v>0.789799043062201</v>
      </c>
      <c r="L10" s="44" t="s">
        <v>178</v>
      </c>
    </row>
    <row r="11" customFormat="false" ht="31.5" hidden="false" customHeight="true" outlineLevel="0" collapsed="false">
      <c r="B11" s="41" t="s">
        <v>131</v>
      </c>
      <c r="C11" s="41" t="s">
        <v>132</v>
      </c>
      <c r="D11" s="60" t="n">
        <v>730</v>
      </c>
      <c r="E11" s="60" t="n">
        <v>23.1</v>
      </c>
      <c r="F11" s="60" t="n">
        <v>27</v>
      </c>
      <c r="H11" s="43" t="n">
        <f aca="false">D11/E11</f>
        <v>31.6017316017316</v>
      </c>
      <c r="I11" s="43" t="n">
        <f aca="false">D11/F11</f>
        <v>27.037037037037</v>
      </c>
      <c r="J11" s="61" t="n">
        <v>0.18</v>
      </c>
      <c r="K11" s="62" t="n">
        <v>1.50205761316872</v>
      </c>
      <c r="L11" s="44" t="s">
        <v>179</v>
      </c>
    </row>
    <row r="12" customFormat="false" ht="31.5" hidden="false" customHeight="true" outlineLevel="0" collapsed="false">
      <c r="B12" s="45" t="s">
        <v>137</v>
      </c>
      <c r="C12" s="45" t="s">
        <v>138</v>
      </c>
      <c r="D12" s="63" t="n">
        <v>196</v>
      </c>
      <c r="E12" s="63" t="n">
        <v>8.9</v>
      </c>
      <c r="F12" s="63" t="n">
        <v>11.2</v>
      </c>
      <c r="H12" s="47" t="n">
        <f aca="false">D12/E12</f>
        <v>22.0224719101124</v>
      </c>
      <c r="I12" s="47" t="n">
        <f aca="false">D12/F12</f>
        <v>17.5</v>
      </c>
      <c r="J12" s="65" t="n">
        <v>0.22</v>
      </c>
      <c r="K12" s="66" t="n">
        <v>0.795454545454545</v>
      </c>
      <c r="L12" s="44" t="s">
        <v>180</v>
      </c>
    </row>
    <row r="14" customFormat="false" ht="15" hidden="false" customHeight="true" outlineLevel="0" collapsed="false">
      <c r="B14" s="4" t="s">
        <v>181</v>
      </c>
      <c r="C14" s="4"/>
      <c r="D14" s="4"/>
      <c r="E14" s="4"/>
    </row>
    <row r="15" customFormat="false" ht="39.75" hidden="false" customHeight="true" outlineLevel="0" collapsed="false">
      <c r="B15" s="67" t="s">
        <v>182</v>
      </c>
      <c r="C15" s="67" t="s">
        <v>183</v>
      </c>
      <c r="D15" s="68" t="n">
        <v>181.41</v>
      </c>
      <c r="E15" s="68" t="n">
        <v>2.94</v>
      </c>
      <c r="F15" s="68" t="n">
        <v>4.2</v>
      </c>
      <c r="H15" s="69" t="n">
        <f aca="false">D15/E15</f>
        <v>61.7040816326531</v>
      </c>
      <c r="I15" s="69" t="n">
        <f aca="false">D15/F15</f>
        <v>43.1928571428571</v>
      </c>
      <c r="J15" s="70" t="n">
        <v>0.43</v>
      </c>
      <c r="K15" s="71" t="n">
        <f aca="false">I15/(J15*100)</f>
        <v>1.00448504983389</v>
      </c>
      <c r="L15" s="44" t="s">
        <v>184</v>
      </c>
    </row>
    <row r="17" customFormat="false" ht="15" hidden="false" customHeight="true" outlineLevel="0" collapsed="false">
      <c r="B17" s="4" t="s">
        <v>185</v>
      </c>
      <c r="C17" s="4"/>
      <c r="D17" s="4"/>
      <c r="E17" s="4"/>
      <c r="F17" s="4"/>
      <c r="G17" s="4"/>
      <c r="H17" s="4"/>
    </row>
    <row r="18" customFormat="false" ht="39.75" hidden="false" customHeight="true" outlineLevel="0" collapsed="false">
      <c r="B18" s="50" t="s">
        <v>186</v>
      </c>
      <c r="C18" s="50"/>
      <c r="D18" s="50"/>
      <c r="E18" s="50"/>
      <c r="F18" s="51" t="n">
        <v>38</v>
      </c>
      <c r="G18" s="52" t="s">
        <v>187</v>
      </c>
      <c r="H18" s="52"/>
      <c r="I18" s="52"/>
      <c r="J18" s="52"/>
    </row>
    <row r="19" customFormat="false" ht="15" hidden="false" customHeight="true" outlineLevel="0" collapsed="false">
      <c r="B19" s="17" t="s">
        <v>188</v>
      </c>
      <c r="C19" s="17"/>
      <c r="D19" s="17"/>
      <c r="E19" s="17"/>
      <c r="F19" s="32" t="n">
        <f aca="false">F15</f>
        <v>4.2</v>
      </c>
    </row>
    <row r="20" customFormat="false" ht="15" hidden="false" customHeight="true" outlineLevel="0" collapsed="false">
      <c r="B20" s="48" t="s">
        <v>189</v>
      </c>
      <c r="C20" s="48"/>
      <c r="D20" s="48"/>
      <c r="E20" s="48"/>
      <c r="F20" s="31" t="n">
        <f aca="false">F18*F19</f>
        <v>159.6</v>
      </c>
    </row>
    <row r="22" customFormat="false" ht="15" hidden="false" customHeight="true" outlineLevel="0" collapsed="false">
      <c r="B22" s="4" t="s">
        <v>190</v>
      </c>
      <c r="C22" s="4"/>
      <c r="D22" s="4"/>
      <c r="E22" s="4"/>
      <c r="F22" s="4"/>
      <c r="G22" s="4"/>
      <c r="H22" s="4"/>
    </row>
    <row r="23" customFormat="false" ht="15" hidden="false" customHeight="true" outlineLevel="0" collapsed="false">
      <c r="B23" s="34" t="s">
        <v>191</v>
      </c>
      <c r="C23" s="72" t="n">
        <v>3.78</v>
      </c>
      <c r="D23" s="72" t="n">
        <v>3.99</v>
      </c>
      <c r="E23" s="72" t="n">
        <v>4.2</v>
      </c>
      <c r="F23" s="72" t="n">
        <v>4.41</v>
      </c>
      <c r="G23" s="72" t="n">
        <v>4.62</v>
      </c>
    </row>
    <row r="24" customFormat="false" ht="15" hidden="false" customHeight="true" outlineLevel="0" collapsed="false">
      <c r="B24" s="73" t="n">
        <v>28</v>
      </c>
      <c r="C24" s="36" t="n">
        <v>105.84</v>
      </c>
      <c r="D24" s="36" t="n">
        <v>111.72</v>
      </c>
      <c r="E24" s="36" t="n">
        <v>117.6</v>
      </c>
      <c r="F24" s="36" t="n">
        <v>123.48</v>
      </c>
      <c r="G24" s="36" t="n">
        <v>129.36</v>
      </c>
    </row>
    <row r="25" customFormat="false" ht="15" hidden="false" customHeight="true" outlineLevel="0" collapsed="false">
      <c r="B25" s="73" t="n">
        <v>30</v>
      </c>
      <c r="C25" s="36" t="n">
        <v>113.4</v>
      </c>
      <c r="D25" s="36" t="n">
        <v>119.7</v>
      </c>
      <c r="E25" s="36" t="n">
        <v>126</v>
      </c>
      <c r="F25" s="36" t="n">
        <v>132.3</v>
      </c>
      <c r="G25" s="36" t="n">
        <v>138.6</v>
      </c>
    </row>
    <row r="26" customFormat="false" ht="15" hidden="false" customHeight="true" outlineLevel="0" collapsed="false">
      <c r="B26" s="73" t="n">
        <v>32</v>
      </c>
      <c r="C26" s="36" t="n">
        <v>120.96</v>
      </c>
      <c r="D26" s="36" t="n">
        <v>127.68</v>
      </c>
      <c r="E26" s="36" t="n">
        <v>134.4</v>
      </c>
      <c r="F26" s="36" t="n">
        <v>141.12</v>
      </c>
      <c r="G26" s="36" t="n">
        <v>147.84</v>
      </c>
    </row>
    <row r="27" customFormat="false" ht="15" hidden="false" customHeight="true" outlineLevel="0" collapsed="false">
      <c r="B27" s="73" t="n">
        <v>34</v>
      </c>
      <c r="C27" s="36" t="n">
        <v>128.52</v>
      </c>
      <c r="D27" s="36" t="n">
        <v>135.66</v>
      </c>
      <c r="E27" s="36" t="n">
        <v>142.8</v>
      </c>
      <c r="F27" s="36" t="n">
        <v>149.94</v>
      </c>
      <c r="G27" s="36" t="n">
        <v>157.08</v>
      </c>
    </row>
    <row r="28" customFormat="false" ht="15" hidden="false" customHeight="true" outlineLevel="0" collapsed="false">
      <c r="B28" s="73" t="n">
        <v>36</v>
      </c>
      <c r="C28" s="36" t="n">
        <v>136.08</v>
      </c>
      <c r="D28" s="36" t="n">
        <v>143.64</v>
      </c>
      <c r="E28" s="36" t="n">
        <v>151.2</v>
      </c>
      <c r="F28" s="36" t="n">
        <v>158.76</v>
      </c>
      <c r="G28" s="36" t="n">
        <v>166.32</v>
      </c>
    </row>
    <row r="29" customFormat="false" ht="15" hidden="false" customHeight="true" outlineLevel="0" collapsed="false">
      <c r="B29" s="73" t="n">
        <v>38</v>
      </c>
      <c r="C29" s="36" t="n">
        <v>143.64</v>
      </c>
      <c r="D29" s="36" t="n">
        <v>151.62</v>
      </c>
      <c r="E29" s="36" t="n">
        <v>159.6</v>
      </c>
      <c r="F29" s="36" t="n">
        <v>167.58</v>
      </c>
      <c r="G29" s="36" t="n">
        <v>175.56</v>
      </c>
    </row>
    <row r="30" customFormat="false" ht="15" hidden="false" customHeight="true" outlineLevel="0" collapsed="false">
      <c r="B30" s="73" t="n">
        <v>40</v>
      </c>
      <c r="C30" s="36" t="n">
        <v>151.2</v>
      </c>
      <c r="D30" s="36" t="n">
        <v>159.6</v>
      </c>
      <c r="E30" s="36" t="n">
        <v>168</v>
      </c>
      <c r="F30" s="36" t="n">
        <v>176.4</v>
      </c>
      <c r="G30" s="36" t="n">
        <v>184.8</v>
      </c>
    </row>
    <row r="31" customFormat="false" ht="15" hidden="false" customHeight="true" outlineLevel="0" collapsed="false">
      <c r="B31" s="73" t="n">
        <v>42</v>
      </c>
      <c r="C31" s="36" t="n">
        <v>158.76</v>
      </c>
      <c r="D31" s="36" t="n">
        <v>167.58</v>
      </c>
      <c r="E31" s="36" t="n">
        <v>176.4</v>
      </c>
      <c r="F31" s="36" t="n">
        <v>185.22</v>
      </c>
      <c r="G31" s="36" t="n">
        <v>194.04</v>
      </c>
    </row>
    <row r="32" customFormat="false" ht="15" hidden="false" customHeight="true" outlineLevel="0" collapsed="false">
      <c r="B32" s="73" t="n">
        <v>44</v>
      </c>
      <c r="C32" s="36" t="n">
        <v>166.32</v>
      </c>
      <c r="D32" s="36" t="n">
        <v>175.56</v>
      </c>
      <c r="E32" s="36" t="n">
        <v>184.8</v>
      </c>
      <c r="F32" s="36" t="n">
        <v>194.04</v>
      </c>
      <c r="G32" s="36" t="n">
        <v>203.28</v>
      </c>
    </row>
  </sheetData>
  <mergeCells count="9">
    <mergeCell ref="B1:I1"/>
    <mergeCell ref="B2:I2"/>
    <mergeCell ref="B14:E14"/>
    <mergeCell ref="B17:H17"/>
    <mergeCell ref="B18:E18"/>
    <mergeCell ref="G18:J18"/>
    <mergeCell ref="B19:E19"/>
    <mergeCell ref="B20:E20"/>
    <mergeCell ref="B22:H22"/>
  </mergeCells>
  <conditionalFormatting sqref="C24:G32">
    <cfRule type="cellIs" priority="2" operator="greaterThanOrEqual" aboveAverage="0" equalAverage="0" bottom="0" percent="0" rank="0" text="" dxfId="0">
      <formula>181.41</formula>
    </cfRule>
    <cfRule type="cellIs" priority="3" operator="lessThan" aboveAverage="0" equalAverage="0" bottom="0" percent="0" rank="0" text="" dxfId="1">
      <formula>181.41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4"/>
    <col collapsed="false" customWidth="true" hidden="false" outlineLevel="0" max="6" min="3" style="1" width="14"/>
    <col collapsed="false" customWidth="true" hidden="false" outlineLevel="0" max="7" min="7" style="1" width="20"/>
  </cols>
  <sheetData>
    <row r="1" customFormat="false" ht="30" hidden="false" customHeight="true" outlineLevel="0" collapsed="false">
      <c r="B1" s="2" t="s">
        <v>192</v>
      </c>
      <c r="C1" s="2"/>
      <c r="D1" s="2"/>
      <c r="E1" s="2"/>
      <c r="F1" s="2"/>
    </row>
    <row r="2" customFormat="false" ht="15" hidden="false" customHeight="true" outlineLevel="0" collapsed="false">
      <c r="B2" s="39" t="s">
        <v>193</v>
      </c>
      <c r="C2" s="39"/>
      <c r="D2" s="39"/>
      <c r="E2" s="39"/>
      <c r="F2" s="39"/>
    </row>
    <row r="4" customFormat="false" ht="15" hidden="false" customHeight="true" outlineLevel="0" collapsed="false">
      <c r="B4" s="4" t="s">
        <v>194</v>
      </c>
      <c r="C4" s="4"/>
      <c r="D4" s="4"/>
      <c r="E4" s="4"/>
      <c r="F4" s="4"/>
    </row>
    <row r="5" customFormat="false" ht="21.75" hidden="false" customHeight="true" outlineLevel="0" collapsed="false">
      <c r="B5" s="40" t="s">
        <v>195</v>
      </c>
      <c r="C5" s="40" t="s">
        <v>196</v>
      </c>
      <c r="D5" s="40" t="s">
        <v>197</v>
      </c>
      <c r="E5" s="40" t="s">
        <v>198</v>
      </c>
      <c r="F5" s="40" t="s">
        <v>199</v>
      </c>
    </row>
    <row r="6" customFormat="false" ht="49.5" hidden="false" customHeight="true" outlineLevel="0" collapsed="false">
      <c r="B6" s="17" t="s">
        <v>200</v>
      </c>
      <c r="C6" s="74" t="n">
        <f aca="false">DCF!C60</f>
        <v>86.0275601696518</v>
      </c>
      <c r="D6" s="75" t="n">
        <v>0.45</v>
      </c>
      <c r="E6" s="60" t="n">
        <f aca="false">C6*D6</f>
        <v>38.7124020763433</v>
      </c>
      <c r="F6" s="76" t="s">
        <v>201</v>
      </c>
    </row>
    <row r="7" customFormat="false" ht="49.5" hidden="false" customHeight="true" outlineLevel="0" collapsed="false">
      <c r="B7" s="17" t="s">
        <v>202</v>
      </c>
      <c r="C7" s="77" t="n">
        <f aca="false">'EV-EBITDA Comps'!E27</f>
        <v>131691.358024691</v>
      </c>
      <c r="D7" s="78" t="n">
        <v>0.35</v>
      </c>
      <c r="E7" s="63" t="n">
        <f aca="false">C7*D7</f>
        <v>46091.975308642</v>
      </c>
      <c r="F7" s="76" t="s">
        <v>203</v>
      </c>
    </row>
    <row r="8" customFormat="false" ht="49.5" hidden="false" customHeight="true" outlineLevel="0" collapsed="false">
      <c r="B8" s="17" t="s">
        <v>204</v>
      </c>
      <c r="C8" s="74" t="n">
        <f aca="false">'PE Comps'!F20</f>
        <v>159.6</v>
      </c>
      <c r="D8" s="75" t="n">
        <v>0.2</v>
      </c>
      <c r="E8" s="60" t="n">
        <f aca="false">C8*D8</f>
        <v>31.92</v>
      </c>
      <c r="F8" s="76" t="s">
        <v>205</v>
      </c>
    </row>
    <row r="10" customFormat="false" ht="15" hidden="false" customHeight="true" outlineLevel="0" collapsed="false">
      <c r="B10" s="4" t="s">
        <v>206</v>
      </c>
      <c r="C10" s="4"/>
      <c r="D10" s="4"/>
      <c r="E10" s="4"/>
      <c r="F10" s="4"/>
    </row>
    <row r="11" customFormat="false" ht="21.75" hidden="false" customHeight="true" outlineLevel="0" collapsed="false">
      <c r="B11" s="79" t="s">
        <v>207</v>
      </c>
      <c r="C11" s="80" t="n">
        <f aca="false">SUM(D6:D8)</f>
        <v>1</v>
      </c>
      <c r="D11" s="81" t="s">
        <v>208</v>
      </c>
      <c r="E11" s="81"/>
      <c r="F11" s="81"/>
    </row>
    <row r="12" customFormat="false" ht="21.75" hidden="false" customHeight="true" outlineLevel="0" collapsed="false">
      <c r="B12" s="79" t="s">
        <v>209</v>
      </c>
      <c r="C12" s="82" t="n">
        <f aca="false">SUM(E6:E8)</f>
        <v>46162.6077107183</v>
      </c>
      <c r="D12" s="81" t="s">
        <v>210</v>
      </c>
      <c r="E12" s="81"/>
      <c r="F12" s="81"/>
    </row>
    <row r="13" customFormat="false" ht="21.75" hidden="false" customHeight="true" outlineLevel="0" collapsed="false">
      <c r="B13" s="79" t="s">
        <v>211</v>
      </c>
      <c r="C13" s="82" t="s">
        <v>212</v>
      </c>
      <c r="D13" s="81" t="s">
        <v>38</v>
      </c>
      <c r="E13" s="81"/>
      <c r="F13" s="81"/>
    </row>
    <row r="14" customFormat="false" ht="21.75" hidden="false" customHeight="true" outlineLevel="0" collapsed="false">
      <c r="B14" s="79" t="s">
        <v>213</v>
      </c>
      <c r="C14" s="82" t="n">
        <f aca="false">C12-C13</f>
        <v>45981.1977107183</v>
      </c>
      <c r="D14" s="81" t="s">
        <v>214</v>
      </c>
      <c r="E14" s="81"/>
      <c r="F14" s="81"/>
    </row>
    <row r="15" customFormat="false" ht="21.75" hidden="false" customHeight="true" outlineLevel="0" collapsed="false">
      <c r="B15" s="79" t="s">
        <v>215</v>
      </c>
      <c r="C15" s="83" t="n">
        <f aca="false">(C12/C13)-1</f>
        <v>253.465617720734</v>
      </c>
      <c r="D15" s="81" t="s">
        <v>216</v>
      </c>
      <c r="E15" s="81"/>
      <c r="F15" s="81"/>
    </row>
    <row r="16" customFormat="false" ht="21.75" hidden="false" customHeight="true" outlineLevel="0" collapsed="false">
      <c r="B16" s="79" t="s">
        <v>217</v>
      </c>
      <c r="C16" s="84" t="str">
        <f aca="false">IF((C12/C13-1)&gt;0.15,"BUY",IF((C12/C13-1)&gt;0.05,"HOLD","SELL"))</f>
        <v>BUY</v>
      </c>
      <c r="D16" s="81" t="s">
        <v>218</v>
      </c>
      <c r="E16" s="81"/>
      <c r="F16" s="81"/>
    </row>
    <row r="19" customFormat="false" ht="15" hidden="false" customHeight="true" outlineLevel="0" collapsed="false">
      <c r="B19" s="4" t="s">
        <v>219</v>
      </c>
      <c r="C19" s="4"/>
      <c r="D19" s="4"/>
      <c r="E19" s="4"/>
      <c r="F19" s="4"/>
    </row>
    <row r="20" customFormat="false" ht="120" hidden="false" customHeight="true" outlineLevel="0" collapsed="false">
      <c r="B20" s="85" t="s">
        <v>220</v>
      </c>
      <c r="C20" s="85"/>
      <c r="D20" s="85"/>
      <c r="E20" s="85"/>
      <c r="F20" s="85"/>
    </row>
    <row r="21" customFormat="false" ht="15" hidden="false" customHeight="true" outlineLevel="0" collapsed="false">
      <c r="B21" s="85"/>
      <c r="C21" s="85"/>
      <c r="D21" s="85"/>
      <c r="E21" s="85"/>
      <c r="F21" s="85"/>
    </row>
    <row r="22" customFormat="false" ht="15" hidden="false" customHeight="true" outlineLevel="0" collapsed="false">
      <c r="B22" s="85"/>
      <c r="C22" s="85"/>
      <c r="D22" s="85"/>
      <c r="E22" s="85"/>
      <c r="F22" s="85"/>
    </row>
    <row r="23" customFormat="false" ht="15" hidden="false" customHeight="true" outlineLevel="0" collapsed="false">
      <c r="B23" s="85"/>
      <c r="C23" s="85"/>
      <c r="D23" s="85"/>
      <c r="E23" s="85"/>
      <c r="F23" s="85"/>
    </row>
    <row r="24" customFormat="false" ht="15" hidden="false" customHeight="true" outlineLevel="0" collapsed="false">
      <c r="B24" s="85"/>
      <c r="C24" s="85"/>
      <c r="D24" s="85"/>
      <c r="E24" s="85"/>
      <c r="F24" s="85"/>
    </row>
    <row r="25" customFormat="false" ht="15" hidden="false" customHeight="true" outlineLevel="0" collapsed="false">
      <c r="B25" s="85"/>
      <c r="C25" s="85"/>
      <c r="D25" s="85"/>
      <c r="E25" s="85"/>
      <c r="F25" s="85"/>
    </row>
  </sheetData>
  <mergeCells count="12">
    <mergeCell ref="B1:F1"/>
    <mergeCell ref="B2:F2"/>
    <mergeCell ref="B4:F4"/>
    <mergeCell ref="B10:F10"/>
    <mergeCell ref="D11:F11"/>
    <mergeCell ref="D12:F12"/>
    <mergeCell ref="D13:F13"/>
    <mergeCell ref="D14:F14"/>
    <mergeCell ref="D15:F15"/>
    <mergeCell ref="D16:F16"/>
    <mergeCell ref="B19:F19"/>
    <mergeCell ref="B20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2026-03-03T03:13:07Z</dcterms:created>
  <dc:creator>openpyxl</dc:creator>
  <dc:description/>
  <dc:language>en-US</dc:language>
  <cp:lastModifiedBy/>
  <dcterms:modified xsi:type="dcterms:W3CDTF">2026-03-03T03:14:24Z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