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imon\Downloads\"/>
    </mc:Choice>
  </mc:AlternateContent>
  <xr:revisionPtr revIDLastSave="0" documentId="13_ncr:1_{FD942D25-1F0A-41BE-A1E6-0128BCC5C86A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Assumptions" sheetId="1" r:id="rId1"/>
    <sheet name="DCF Model" sheetId="2" r:id="rId2"/>
    <sheet name="Sensitivity" sheetId="3" r:id="rId3"/>
    <sheet name="EV-EBITDA Comps" sheetId="4" r:id="rId4"/>
    <sheet name="PE Comps" sheetId="5" r:id="rId5"/>
    <sheet name="Valuation Summary" sheetId="6" r:id="rId6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0" i="1" l="1"/>
  <c r="F45" i="5"/>
  <c r="E45" i="5"/>
  <c r="D45" i="5"/>
  <c r="C45" i="5"/>
  <c r="B45" i="5"/>
  <c r="F44" i="5"/>
  <c r="E44" i="5"/>
  <c r="D44" i="5"/>
  <c r="C44" i="5"/>
  <c r="B44" i="5"/>
  <c r="F43" i="5"/>
  <c r="E43" i="5"/>
  <c r="D43" i="5"/>
  <c r="C43" i="5"/>
  <c r="B43" i="5"/>
  <c r="F42" i="5"/>
  <c r="E42" i="5"/>
  <c r="D42" i="5"/>
  <c r="C42" i="5"/>
  <c r="B42" i="5"/>
  <c r="F41" i="5"/>
  <c r="E41" i="5"/>
  <c r="D41" i="5"/>
  <c r="C41" i="5"/>
  <c r="B41" i="5"/>
  <c r="F40" i="5"/>
  <c r="E40" i="5"/>
  <c r="D40" i="5"/>
  <c r="C40" i="5"/>
  <c r="B40" i="5"/>
  <c r="F39" i="5"/>
  <c r="E39" i="5"/>
  <c r="D39" i="5"/>
  <c r="C39" i="5"/>
  <c r="B39" i="5"/>
  <c r="B32" i="5"/>
  <c r="B30" i="5"/>
  <c r="B28" i="5"/>
  <c r="E18" i="5"/>
  <c r="G18" i="5" s="1"/>
  <c r="G17" i="5"/>
  <c r="E17" i="5"/>
  <c r="E16" i="5"/>
  <c r="G16" i="5" s="1"/>
  <c r="E15" i="5"/>
  <c r="G15" i="5" s="1"/>
  <c r="E14" i="5"/>
  <c r="E22" i="5" s="1"/>
  <c r="G13" i="5"/>
  <c r="E13" i="5"/>
  <c r="B27" i="5" s="1"/>
  <c r="B29" i="5" s="1"/>
  <c r="F51" i="4"/>
  <c r="E51" i="4"/>
  <c r="D51" i="4"/>
  <c r="C51" i="4"/>
  <c r="B51" i="4"/>
  <c r="F50" i="4"/>
  <c r="E50" i="4"/>
  <c r="D50" i="4"/>
  <c r="C50" i="4"/>
  <c r="B50" i="4"/>
  <c r="F49" i="4"/>
  <c r="E49" i="4"/>
  <c r="D49" i="4"/>
  <c r="C49" i="4"/>
  <c r="B49" i="4"/>
  <c r="F48" i="4"/>
  <c r="E48" i="4"/>
  <c r="D48" i="4"/>
  <c r="C48" i="4"/>
  <c r="B48" i="4"/>
  <c r="F47" i="4"/>
  <c r="E47" i="4"/>
  <c r="D47" i="4"/>
  <c r="C47" i="4"/>
  <c r="B47" i="4"/>
  <c r="F46" i="4"/>
  <c r="E46" i="4"/>
  <c r="D46" i="4"/>
  <c r="C46" i="4"/>
  <c r="B46" i="4"/>
  <c r="F45" i="4"/>
  <c r="E45" i="4"/>
  <c r="D45" i="4"/>
  <c r="C45" i="4"/>
  <c r="B45" i="4"/>
  <c r="B38" i="4"/>
  <c r="B36" i="4"/>
  <c r="B34" i="4"/>
  <c r="B32" i="4"/>
  <c r="B30" i="4"/>
  <c r="J20" i="4"/>
  <c r="E20" i="4"/>
  <c r="I20" i="4" s="1"/>
  <c r="J19" i="4"/>
  <c r="E19" i="4"/>
  <c r="H19" i="4" s="1"/>
  <c r="J18" i="4"/>
  <c r="E18" i="4"/>
  <c r="I18" i="4" s="1"/>
  <c r="J17" i="4"/>
  <c r="E17" i="4"/>
  <c r="I17" i="4" s="1"/>
  <c r="J16" i="4"/>
  <c r="E16" i="4"/>
  <c r="H16" i="4" s="1"/>
  <c r="J15" i="4"/>
  <c r="E15" i="4"/>
  <c r="H15" i="4" s="1"/>
  <c r="M39" i="2"/>
  <c r="L39" i="2"/>
  <c r="M37" i="2"/>
  <c r="L37" i="2"/>
  <c r="M35" i="2"/>
  <c r="L35" i="2"/>
  <c r="M34" i="2"/>
  <c r="L34" i="2"/>
  <c r="H18" i="2"/>
  <c r="L9" i="2"/>
  <c r="K9" i="2"/>
  <c r="J9" i="2"/>
  <c r="I9" i="2"/>
  <c r="H9" i="2"/>
  <c r="G9" i="2"/>
  <c r="F9" i="2"/>
  <c r="E9" i="2"/>
  <c r="D9" i="2"/>
  <c r="C9" i="2"/>
  <c r="M7" i="2"/>
  <c r="L7" i="2"/>
  <c r="K7" i="2"/>
  <c r="J7" i="2"/>
  <c r="I7" i="2"/>
  <c r="H7" i="2"/>
  <c r="G7" i="2"/>
  <c r="F7" i="2"/>
  <c r="E7" i="2"/>
  <c r="D7" i="2"/>
  <c r="C7" i="2"/>
  <c r="B6" i="2"/>
  <c r="C6" i="2" s="1"/>
  <c r="G18" i="2"/>
  <c r="B39" i="1"/>
  <c r="B36" i="1"/>
  <c r="C9" i="6"/>
  <c r="D6" i="6"/>
  <c r="B31" i="5" l="1"/>
  <c r="C15" i="2"/>
  <c r="D6" i="2"/>
  <c r="C14" i="2"/>
  <c r="C10" i="2"/>
  <c r="C13" i="2"/>
  <c r="I18" i="2"/>
  <c r="H18" i="4"/>
  <c r="H20" i="4"/>
  <c r="J18" i="2"/>
  <c r="I16" i="4"/>
  <c r="E21" i="5"/>
  <c r="E20" i="5"/>
  <c r="C18" i="2"/>
  <c r="K18" i="2"/>
  <c r="L18" i="2"/>
  <c r="E18" i="2"/>
  <c r="M18" i="2"/>
  <c r="H17" i="4"/>
  <c r="H23" i="4" s="1"/>
  <c r="G14" i="5"/>
  <c r="F18" i="2"/>
  <c r="I15" i="4"/>
  <c r="I19" i="4"/>
  <c r="E19" i="5"/>
  <c r="D18" i="2"/>
  <c r="G22" i="5" l="1"/>
  <c r="G20" i="5"/>
  <c r="G19" i="5"/>
  <c r="D13" i="2"/>
  <c r="D14" i="2"/>
  <c r="D10" i="2"/>
  <c r="D15" i="2"/>
  <c r="E6" i="2"/>
  <c r="G21" i="5"/>
  <c r="H24" i="4"/>
  <c r="H21" i="4"/>
  <c r="C11" i="2"/>
  <c r="C12" i="2"/>
  <c r="C16" i="2" s="1"/>
  <c r="C19" i="2" s="1"/>
  <c r="I22" i="4"/>
  <c r="I21" i="4"/>
  <c r="I24" i="4" s="1"/>
  <c r="B29" i="4"/>
  <c r="B31" i="4" s="1"/>
  <c r="B33" i="4" s="1"/>
  <c r="B35" i="4" s="1"/>
  <c r="B37" i="4" s="1"/>
  <c r="H22" i="4"/>
  <c r="B8" i="6"/>
  <c r="D8" i="6" s="1"/>
  <c r="B33" i="5"/>
  <c r="I23" i="4" l="1"/>
  <c r="D11" i="2"/>
  <c r="D12" i="2" s="1"/>
  <c r="D16" i="2" s="1"/>
  <c r="D19" i="2" s="1"/>
  <c r="B39" i="4"/>
  <c r="B7" i="6"/>
  <c r="D7" i="6" s="1"/>
  <c r="D10" i="6" s="1"/>
  <c r="E14" i="2"/>
  <c r="E10" i="2"/>
  <c r="E13" i="2"/>
  <c r="E15" i="2"/>
  <c r="F6" i="2"/>
  <c r="B15" i="6" l="1"/>
  <c r="B14" i="6"/>
  <c r="F13" i="2"/>
  <c r="F14" i="2"/>
  <c r="F15" i="2"/>
  <c r="G6" i="2"/>
  <c r="F10" i="2"/>
  <c r="E12" i="2"/>
  <c r="E16" i="2" s="1"/>
  <c r="E19" i="2" s="1"/>
  <c r="E11" i="2"/>
  <c r="F11" i="2" l="1"/>
  <c r="F12" i="2" s="1"/>
  <c r="F16" i="2" s="1"/>
  <c r="F19" i="2" s="1"/>
  <c r="G13" i="2"/>
  <c r="G15" i="2"/>
  <c r="H6" i="2"/>
  <c r="G14" i="2"/>
  <c r="G10" i="2"/>
  <c r="G11" i="2" l="1"/>
  <c r="G12" i="2" s="1"/>
  <c r="G16" i="2" s="1"/>
  <c r="G19" i="2" s="1"/>
  <c r="H15" i="2"/>
  <c r="I6" i="2"/>
  <c r="H14" i="2"/>
  <c r="H10" i="2"/>
  <c r="H13" i="2"/>
  <c r="H11" i="2" l="1"/>
  <c r="H12" i="2"/>
  <c r="H16" i="2" s="1"/>
  <c r="H19" i="2" s="1"/>
  <c r="I15" i="2"/>
  <c r="J6" i="2"/>
  <c r="I14" i="2"/>
  <c r="I10" i="2"/>
  <c r="I13" i="2"/>
  <c r="J15" i="2" l="1"/>
  <c r="K6" i="2"/>
  <c r="J14" i="2"/>
  <c r="J10" i="2"/>
  <c r="J13" i="2"/>
  <c r="I11" i="2"/>
  <c r="I12" i="2" s="1"/>
  <c r="I16" i="2" s="1"/>
  <c r="I19" i="2" s="1"/>
  <c r="J11" i="2" l="1"/>
  <c r="J12" i="2"/>
  <c r="J16" i="2" s="1"/>
  <c r="J19" i="2" s="1"/>
  <c r="K15" i="2"/>
  <c r="L6" i="2"/>
  <c r="K10" i="2"/>
  <c r="K14" i="2"/>
  <c r="K13" i="2"/>
  <c r="K11" i="2" l="1"/>
  <c r="K12" i="2"/>
  <c r="K16" i="2" s="1"/>
  <c r="K19" i="2" s="1"/>
  <c r="L13" i="2"/>
  <c r="L15" i="2"/>
  <c r="L14" i="2"/>
  <c r="L10" i="2"/>
  <c r="M26" i="2" l="1"/>
  <c r="M27" i="2" s="1"/>
  <c r="L11" i="2"/>
  <c r="L12" i="2" s="1"/>
  <c r="L16" i="2" s="1"/>
  <c r="L19" i="2" l="1"/>
  <c r="M22" i="2"/>
  <c r="M23" i="2" s="1"/>
  <c r="M32" i="2"/>
  <c r="L32" i="2" l="1"/>
  <c r="M31" i="2"/>
  <c r="M33" i="2" s="1"/>
  <c r="L31" i="2"/>
  <c r="C19" i="3" l="1"/>
  <c r="G17" i="3"/>
  <c r="E16" i="3"/>
  <c r="C15" i="3"/>
  <c r="G9" i="3"/>
  <c r="E8" i="3"/>
  <c r="C7" i="3"/>
  <c r="G5" i="3"/>
  <c r="E17" i="3"/>
  <c r="G14" i="3"/>
  <c r="C8" i="3"/>
  <c r="E5" i="3"/>
  <c r="F18" i="3"/>
  <c r="D9" i="3"/>
  <c r="F6" i="3"/>
  <c r="B19" i="3"/>
  <c r="F17" i="3"/>
  <c r="D16" i="3"/>
  <c r="B15" i="3"/>
  <c r="F9" i="3"/>
  <c r="D8" i="3"/>
  <c r="B7" i="3"/>
  <c r="F5" i="3"/>
  <c r="G18" i="3"/>
  <c r="C16" i="3"/>
  <c r="E9" i="3"/>
  <c r="G6" i="3"/>
  <c r="D17" i="3"/>
  <c r="B16" i="3"/>
  <c r="F14" i="3"/>
  <c r="B8" i="3"/>
  <c r="D5" i="3"/>
  <c r="G19" i="3"/>
  <c r="E18" i="3"/>
  <c r="C17" i="3"/>
  <c r="G15" i="3"/>
  <c r="E14" i="3"/>
  <c r="C9" i="3"/>
  <c r="G7" i="3"/>
  <c r="E6" i="3"/>
  <c r="C5" i="3"/>
  <c r="C18" i="3"/>
  <c r="E15" i="3"/>
  <c r="G8" i="3"/>
  <c r="C6" i="3"/>
  <c r="B18" i="3"/>
  <c r="B14" i="3"/>
  <c r="D7" i="3"/>
  <c r="F19" i="3"/>
  <c r="D18" i="3"/>
  <c r="B17" i="3"/>
  <c r="F15" i="3"/>
  <c r="D14" i="3"/>
  <c r="B9" i="3"/>
  <c r="F7" i="3"/>
  <c r="D6" i="3"/>
  <c r="B5" i="3"/>
  <c r="L33" i="2"/>
  <c r="E19" i="3"/>
  <c r="G16" i="3"/>
  <c r="C14" i="3"/>
  <c r="E7" i="3"/>
  <c r="D19" i="3"/>
  <c r="F16" i="3"/>
  <c r="D15" i="3"/>
  <c r="F8" i="3"/>
  <c r="B6" i="3"/>
  <c r="M36" i="2"/>
  <c r="M38" i="2" s="1"/>
  <c r="M40" i="2" s="1"/>
  <c r="M28" i="2"/>
  <c r="L36" i="2" l="1"/>
  <c r="L38" i="2" s="1"/>
  <c r="L40" i="2" s="1"/>
  <c r="M24" i="2"/>
</calcChain>
</file>

<file path=xl/sharedStrings.xml><?xml version="1.0" encoding="utf-8"?>
<sst xmlns="http://schemas.openxmlformats.org/spreadsheetml/2006/main" count="353" uniqueCount="259">
  <si>
    <t>VALUATION SUMMARY — BLENDED PRICE TARGET</t>
  </si>
  <si>
    <t>NVIDIA Corporation (NVDA)  |  Equity Research Valuation Model</t>
  </si>
  <si>
    <t>BLENDED PRICE TARGET BRIDGE</t>
  </si>
  <si>
    <t>Valuation Method</t>
  </si>
  <si>
    <t>Implied Price ($)</t>
  </si>
  <si>
    <t>Weighting</t>
  </si>
  <si>
    <t>Weighted Value ($)</t>
  </si>
  <si>
    <t>Notes</t>
  </si>
  <si>
    <t>DCF</t>
  </si>
  <si>
    <t>DCF midpoint: GG 55 / Exit Multiple 85; blended ~20 (see NVDA_DCF_v2.xlsx)</t>
  </si>
  <si>
    <t>EV/EBITDA Comps</t>
  </si>
  <si>
    <t>Based on NTM EBITDA 32B and peer median EV/EBITDA applied with 15% AI premium</t>
  </si>
  <si>
    <t>P/E Comps</t>
  </si>
  <si>
    <t>Based on NTM EPS .30 and peer median P/E applied with 20% AI leadership premium</t>
  </si>
  <si>
    <t>Weight Check (must = 100%)</t>
  </si>
  <si>
    <t>BLENDED PRICE TARGET ($)</t>
  </si>
  <si>
    <t>UPSIDE / (DOWNSIDE) SUMMARY</t>
  </si>
  <si>
    <t>Current Stock Price ($)</t>
  </si>
  <si>
    <t>Blended Price Target ($)</t>
  </si>
  <si>
    <t>Implied Upside / (Downside)</t>
  </si>
  <si>
    <t>Rating</t>
  </si>
  <si>
    <t>BUY</t>
  </si>
  <si>
    <t>Nvidia (NVDA) — DCF Model Assumptions</t>
  </si>
  <si>
    <t>Parameter</t>
  </si>
  <si>
    <t>Value</t>
  </si>
  <si>
    <t>Units</t>
  </si>
  <si>
    <t>Operating Assumptions</t>
  </si>
  <si>
    <t>Base Revenue ($mm)</t>
  </si>
  <si>
    <t>$mm</t>
  </si>
  <si>
    <t>Source: NVIDIA FY2025 10-K (Jan 2025); revenue 30.5B</t>
  </si>
  <si>
    <t>Revenue Growth — Yr 1</t>
  </si>
  <si>
    <t>%</t>
  </si>
  <si>
    <t>stockanalysis.com</t>
  </si>
  <si>
    <t>Revenue Growth — Yr 2</t>
  </si>
  <si>
    <t>Revenue Growth — Yr 3</t>
  </si>
  <si>
    <t>Revenue Growth — Yr 4</t>
  </si>
  <si>
    <t>My Assumption</t>
  </si>
  <si>
    <t>Revenue Growth — Yr 5</t>
  </si>
  <si>
    <t>Revenue Growth — Yr 6</t>
  </si>
  <si>
    <t>Fade: Rubin ramp sustains elevated growth</t>
  </si>
  <si>
    <t>Revenue Growth — Yr 7</t>
  </si>
  <si>
    <t>Fade: market penetration broadening</t>
  </si>
  <si>
    <t>Revenue Growth — Yr 8</t>
  </si>
  <si>
    <t>Fade: growth normalizing toward maturity</t>
  </si>
  <si>
    <t>Revenue Growth — Yr 9</t>
  </si>
  <si>
    <t>Fade: approaching steady-state</t>
  </si>
  <si>
    <t>Revenue Growth — Yr 10</t>
  </si>
  <si>
    <t>Fade: normalized ~5% — closer to terminal rate</t>
  </si>
  <si>
    <t>Terminal Growth Rate</t>
  </si>
  <si>
    <t>My assumption based on inevitability of long-term normalization and durable AI demand</t>
  </si>
  <si>
    <t>EBIT Margin (Year 1)</t>
  </si>
  <si>
    <t>FY2026 GAAP EBIT margin ~62.9% (operating income ~$135.9B / revenue $215.9B). Derived from gross profit of $153.5B (71.1% gross margin) less total opex of ~$17.6B (R&amp;D ~$12.9B + SG&amp;A ~$4.7B). The 62.1% assumption applies a modest conservatism haircut to the reported figure to account for potential opex reclassifications and rounding in preliminary filings. Source: NVIDIA FY2026 10-K (Jan 2026).</t>
  </si>
  <si>
    <t>EBIT Margin (Year 2)</t>
  </si>
  <si>
    <t>Guided/Estimated Q1 FY2027</t>
  </si>
  <si>
    <t>EBIT Margin (Year 3)</t>
  </si>
  <si>
    <t>Analyst Estimate: Rubin GPU architecture increase in second half of FY2027 and FY2028</t>
  </si>
  <si>
    <t>EBIT Margin (Year 4)</t>
  </si>
  <si>
    <t>Analyst Estimate: Rubin GPU shoud be in full production; R&amp;D stablizes</t>
  </si>
  <si>
    <t>EBIT Margin (Year 5)</t>
  </si>
  <si>
    <t>Long ragne estimate</t>
  </si>
  <si>
    <t>EBIT Margin (Year 6)</t>
  </si>
  <si>
    <t>Sustained at scale; incremental opex vs revenue</t>
  </si>
  <si>
    <t>EBIT Margin (Year 7)</t>
  </si>
  <si>
    <t>Modest compression: rising R&amp;D for next-gen arch</t>
  </si>
  <si>
    <t>EBIT Margin (Year 8)</t>
  </si>
  <si>
    <t>Competition from custom ASICs begins to weigh</t>
  </si>
  <si>
    <t>EBIT Margin (Year 9)</t>
  </si>
  <si>
    <t>Gradual normalization toward mature tech margins</t>
  </si>
  <si>
    <t>EBIT Margin (Year 10)</t>
  </si>
  <si>
    <t>Terminal-year margin: still well above industry avg</t>
  </si>
  <si>
    <t>Tax Rate</t>
  </si>
  <si>
    <t>Source: DBS Bank NVIDIA Equity Reaearch</t>
  </si>
  <si>
    <t>D&amp;A as % of Revenue</t>
  </si>
  <si>
    <t>Source: FY2025 D&amp;A ~.8B / 30.5B revenue = ~1.4% (asset-light model)</t>
  </si>
  <si>
    <t>CapEx as % of Revenue</t>
  </si>
  <si>
    <t>Source: FY2025 CapEx .24B / 30.5B revenue = 2.5% (fabless model)</t>
  </si>
  <si>
    <t>Change in NWC as % of Rev</t>
  </si>
  <si>
    <t>Conservative NWC build assumption given rapid revenue scaling</t>
  </si>
  <si>
    <t>WACC Assumptions</t>
  </si>
  <si>
    <t>Risk-Free Rate</t>
  </si>
  <si>
    <t>10yr US Treasury yield ~4.3% (Mar 2026)</t>
  </si>
  <si>
    <t>Equity Risk Premium</t>
  </si>
  <si>
    <t>Damodaran Jan 2026 ERP estimate</t>
  </si>
  <si>
    <t>Beta</t>
  </si>
  <si>
    <t>x</t>
  </si>
  <si>
    <t>Source: https://www.alphaspread.com/security/nasdaq/nvda/discount-rate</t>
  </si>
  <si>
    <t>Cost of Equity</t>
  </si>
  <si>
    <t>CAPM: Rf + β×ERP</t>
  </si>
  <si>
    <t>Pre-Tax Cost of Debt</t>
  </si>
  <si>
    <t>Source: NVIDIA FY2025; LTD .5B, investment-grade issuer</t>
  </si>
  <si>
    <t>Equity Weight</t>
  </si>
  <si>
    <t>Source: FY2025 D/E ratio ~0.07; near entirely equity-financed</t>
  </si>
  <si>
    <t>Debt Weight</t>
  </si>
  <si>
    <t>1 - Equity Weight</t>
  </si>
  <si>
    <t>WACC</t>
  </si>
  <si>
    <t>Kd×(1−t) blended in</t>
  </si>
  <si>
    <t>Terminal Value Assumptions</t>
  </si>
  <si>
    <t>Above-GDP given AI infrastructure secular growth trend</t>
  </si>
  <si>
    <t>EV/EBIT Exit Multiple</t>
  </si>
  <si>
    <t>Year 10 exit at 21x EV/EBIT; reflects a mature, large-cap AI platform premium. Conservative relative to current trading levels; accounts for potential multiple compression as growth normalizes. Cross-check: 28x would imply a more optimistic scenario.</t>
  </si>
  <si>
    <t>Terminal Year EBITDA Mult</t>
  </si>
  <si>
    <t>High multiple reflecting AI leadership premium</t>
  </si>
  <si>
    <t>Balance Sheet Inputs</t>
  </si>
  <si>
    <t>Total Debt ($mm)</t>
  </si>
  <si>
    <t>Source: NVIDIA FY2025 balance sheet; long-term debt .5B</t>
  </si>
  <si>
    <t>Cash &amp; Equivalents ($mm)</t>
  </si>
  <si>
    <t>Source: NVIDIA FY2025 balance sheet; cash &amp; equivalents 5.2B</t>
  </si>
  <si>
    <t>Diluted Shares Out. (mm)</t>
  </si>
  <si>
    <t>mm</t>
  </si>
  <si>
    <t>Source: Diluted shares outstanding ~24.5B (Oct 2025 10-Q)</t>
  </si>
  <si>
    <t>Current Share Price</t>
  </si>
  <si>
    <t>$</t>
  </si>
  <si>
    <t>Source: NVDA closing price Mar 7, 2026</t>
  </si>
  <si>
    <t>Discounted Cash Flow Model</t>
  </si>
  <si>
    <t>All figures in  unless noted  |  Blue = hardcoded input  |  Black = formula  |  10-Year forecast with Gordon Growth + Exit Multiple terminal values</t>
  </si>
  <si>
    <t>()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</si>
  <si>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</si>
  <si>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</si>
  <si>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</si>
  <si>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</si>
  <si>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</si>
  <si>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</si>
  <si>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</si>
  <si>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</si>
  <si>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</si>
  <si>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</si>
  <si>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</si>
  <si>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Terminal</t>
  </si>
  <si>
    <t>Revenue Build</t>
  </si>
  <si>
    <t>Revenue</t>
  </si>
  <si>
    <t xml:space="preserve">  Growth Rate</t>
  </si>
  <si>
    <t>Income Statement &amp; Free Cash Flow</t>
  </si>
  <si>
    <t xml:space="preserve">  EBIT Margin</t>
  </si>
  <si>
    <t xml:space="preserve">  EBIT</t>
  </si>
  <si>
    <t xml:space="preserve">  (-) Taxes</t>
  </si>
  <si>
    <t>NOPAT</t>
  </si>
  <si>
    <t xml:space="preserve">  (+) D&amp;A</t>
  </si>
  <si>
    <t xml:space="preserve">  (-) CapEx</t>
  </si>
  <si>
    <t xml:space="preserve">  (-) Change in NWC</t>
  </si>
  <si>
    <t>Free Cash Flow</t>
  </si>
  <si>
    <t>Discounted Cash Flow</t>
  </si>
  <si>
    <t>Discount Factor (WACC)</t>
  </si>
  <si>
    <t>PV of FCF</t>
  </si>
  <si>
    <t>Terminal Value</t>
  </si>
  <si>
    <t>Method 1 — Gordon Growth (perpetuity)</t>
  </si>
  <si>
    <t xml:space="preserve">  Terminal FCF</t>
  </si>
  <si>
    <t xml:space="preserve">  PV of Terminal Value (GG)</t>
  </si>
  <si>
    <t xml:space="preserve">  TV as % of Total EV (GG)</t>
  </si>
  <si>
    <t>Method 2 — Exit Multiple (EV/EBIT)</t>
  </si>
  <si>
    <t xml:space="preserve">  Terminal Value (Exit Multiple)</t>
  </si>
  <si>
    <t xml:space="preserve">  PV of Terminal Value (Exit)</t>
  </si>
  <si>
    <t xml:space="preserve">  TV as % of Total EV (Exit)</t>
  </si>
  <si>
    <t>Valuation Summary</t>
  </si>
  <si>
    <t>Method →</t>
  </si>
  <si>
    <t>Gordon Growth</t>
  </si>
  <si>
    <t>Exit Multiple</t>
  </si>
  <si>
    <t>Sum of PV(FCFs)</t>
  </si>
  <si>
    <t>PV of Terminal Value</t>
  </si>
  <si>
    <t>Enterprise Value</t>
  </si>
  <si>
    <t>(-) Total Debt</t>
  </si>
  <si>
    <t>(+) Cash &amp; Equivalents</t>
  </si>
  <si>
    <t>Equity Value</t>
  </si>
  <si>
    <t>Diluted Shares Outstanding (mm)</t>
  </si>
  <si>
    <t>Implied Share Price</t>
  </si>
  <si>
    <t>Footnotes</t>
  </si>
  <si>
    <t>Our 10-year discounted cash flow analysis yields an implied share price range of $155–$285, bracketing the current market price of $181.69. The lower bound is derived from a Gordon Growth terminal value assuming a 2.75% perpetuity growth rate and a 10.4% WACC; the upper bound applies a 28x EV/EBIT exit multiple to Year 10 (FY2035) operating income. Revenue projections reflect actual FY2026 results ($215.9B, +65% YoY) and consensus estimates through FY2028, fading to 5% growth by FY2035 as the AI infrastructure build-out matures. EBIT margins are anchored to 62.1% in Year 1, a modest conservatism haircut to the FY2026 GAAP reported figure of ~62.9% (operating income ~$135.9B / revenue $215.9B), with expansion to 65% at peak before compressing to 61% in the terminal year to reflect increasing R&amp;D intensity and competitive pressure from custom silicon.</t>
  </si>
  <si>
    <t>The $130 spread between the two methods is not a modelling inconsistency — it is a direct consequence of the scale of Nvidia's cash generation by Year 10. With free cash flow of ~$412B in the terminal year, the Gordon Growth method is acutely sensitive to the WACC−g spread: at 10.4% WACC and 2.75% terminal growth, the denominator is only 7.65%, meaning a 50 basis point change in either assumption moves the implied price by approximately $20–$30. This mathematical fragility makes Gordon Growth an unreliable standalone anchor for a company of Nvidia's size and growth profile. The exit multiple method avoids this sensitivity by grounding terminal value in observable market comparables — specifically, where mature large-cap technology platforms trade on an EBIT basis — but introduces its own subjectivity in multiple selection. A 28x exit multiple reflects Nvidia's durable competitive moat via CUDA and its data center ecosystem; a more conservative 20–22x, appropriate if competitive erosion from custom ASICs accelerates, would imply a price of approximately $195–$215. On balance, we view the exit multiple as the more reliable anchor, and note that both methods converge on fair-to-modest undervaluation at current levels when conservative assumptions are applied.</t>
  </si>
  <si>
    <t>Sensitivity Analysis — Implied Share Price (Gordon Growth)</t>
  </si>
  <si>
    <t>Implied Share Price by WACC &amp; Terminal Growth Rate (10-Year Model)</t>
  </si>
  <si>
    <t>WACC →</t>
  </si>
  <si>
    <t>TGR ↓</t>
  </si>
  <si>
    <t>Sensitivity Analysis — Implied Share Price (Exit Multiple)</t>
  </si>
  <si>
    <t>Implied Share Price by WACC &amp; EV/EBIT Exit Multiple (10-Year Model)</t>
  </si>
  <si>
    <t>18x</t>
  </si>
  <si>
    <t>22x</t>
  </si>
  <si>
    <t>26x</t>
  </si>
  <si>
    <t>28x</t>
  </si>
  <si>
    <t>32x</t>
  </si>
  <si>
    <t>36x</t>
  </si>
  <si>
    <t>Mult ↓</t>
  </si>
  <si>
    <t>EV / EBITDA COMPARABLE COMPANY ANALYSIS</t>
  </si>
  <si>
    <t>Color Legend:</t>
  </si>
  <si>
    <t>Blue = Input</t>
  </si>
  <si>
    <t>Black = Formula</t>
  </si>
  <si>
    <t>SUBJECT COMPANY INPUTS</t>
  </si>
  <si>
    <t>Subject Company Name</t>
  </si>
  <si>
    <t>NVIDIA Corporation (NVDA)</t>
  </si>
  <si>
    <t>NTM EBITDA ($M)</t>
  </si>
  <si>
    <t>Applied Multiple Premium/Disc</t>
  </si>
  <si>
    <t>Premium (+) or discount (-) to peer median</t>
  </si>
  <si>
    <t>Net Debt / (Cash) ($M)</t>
  </si>
  <si>
    <t>Shares Outstanding (M)</t>
  </si>
  <si>
    <t>PEER GROUP</t>
  </si>
  <si>
    <t>Company</t>
  </si>
  <si>
    <t>Ticker</t>
  </si>
  <si>
    <t>Market Cap ($M)</t>
  </si>
  <si>
    <t>Net Debt ($M)</t>
  </si>
  <si>
    <t>EV ($M)</t>
  </si>
  <si>
    <t>NTM Revenue ($M)</t>
  </si>
  <si>
    <t>EV/Revenue (NTM)</t>
  </si>
  <si>
    <t>EV/EBITDA (NTM)</t>
  </si>
  <si>
    <t>NTM EBITDA Margin</t>
  </si>
  <si>
    <t>Broadcom Inc.</t>
  </si>
  <si>
    <t>AVGO</t>
  </si>
  <si>
    <t>AI custom silicon + VMware software; EV/EBITDA ~44x TTM</t>
  </si>
  <si>
    <t>Taiwan Semiconductor Mfg.</t>
  </si>
  <si>
    <t>TSM</t>
  </si>
  <si>
    <t>World largest foundry; NVDA primary fab partner; 72% EBITDA margin</t>
  </si>
  <si>
    <t>Advanced Micro Devices</t>
  </si>
  <si>
    <t>AMD</t>
  </si>
  <si>
    <t>Primary GPU competitor; data center growing 22% YoY</t>
  </si>
  <si>
    <t>Marvell Technology</t>
  </si>
  <si>
    <t>MRVL</t>
  </si>
  <si>
    <t>Custom AI ASIC for hyperscalers; high-growth emerging peer</t>
  </si>
  <si>
    <t>Qualcomm Inc.</t>
  </si>
  <si>
    <t>QCOM</t>
  </si>
  <si>
    <t>Diversified semi; mobile/edge AI; lower growth vs AI peers</t>
  </si>
  <si>
    <t>Intel Corporation</t>
  </si>
  <si>
    <t>INTC</t>
  </si>
  <si>
    <t>Turnaround story; foundry + legacy CPU; structurally challenged</t>
  </si>
  <si>
    <t>Peer Mean</t>
  </si>
  <si>
    <t>Peer Median</t>
  </si>
  <si>
    <t>Peer High</t>
  </si>
  <si>
    <t>Peer Low</t>
  </si>
  <si>
    <t>VALUATION OUTPUT</t>
  </si>
  <si>
    <t>Peer Median EV/EBITDA</t>
  </si>
  <si>
    <t>Applied Premium / (Discount)</t>
  </si>
  <si>
    <t>Applied EV/EBITDA Multiple</t>
  </si>
  <si>
    <t>Implied Enterprise Value ($M)</t>
  </si>
  <si>
    <t>Less: Net Debt ($M)</t>
  </si>
  <si>
    <t>Implied Equity Value ($M)</t>
  </si>
  <si>
    <t>Implied Share Price ($)</t>
  </si>
  <si>
    <t>SENSITIVITY — Implied Price vs. EV/EBITDA Multiple &amp; EBITDA</t>
  </si>
  <si>
    <t>Implied Share Price ($) — rows = applied EV/EBITDA multiple, cols = NTM EBITDA ($M)</t>
  </si>
  <si>
    <t>Multiple →  /  EBITDA % chg ↓</t>
  </si>
  <si>
    <t>-20%</t>
  </si>
  <si>
    <t>-10%</t>
  </si>
  <si>
    <t>+0%</t>
  </si>
  <si>
    <t>+10%</t>
  </si>
  <si>
    <t>+20%</t>
  </si>
  <si>
    <t>P / E COMPARABLE COMPANY ANALYSIS</t>
  </si>
  <si>
    <t>NTM EPS ($)</t>
  </si>
  <si>
    <t>Stock Price ($)</t>
  </si>
  <si>
    <t>P/E (NTM)</t>
  </si>
  <si>
    <t>EPS Growth (NTM)</t>
  </si>
  <si>
    <t>PEG Ratio</t>
  </si>
  <si>
    <t>Dividend Yield</t>
  </si>
  <si>
    <t>Net Margin</t>
  </si>
  <si>
    <t>Fwd P/E ~25x; AI custom chip + software mix</t>
  </si>
  <si>
    <t>Fwd P/E ~33x; foundry premium; 30% EPS growth</t>
  </si>
  <si>
    <t>Fwd P/E ~24x; turnaround in data center GPU</t>
  </si>
  <si>
    <t>High growth custom ASIC; expanding margins</t>
  </si>
  <si>
    <t>Lower growth; diversified mobile + auto + IoT</t>
  </si>
  <si>
    <t>Deep turnaround; EPS recovering from near zero</t>
  </si>
  <si>
    <t>Peer Median P/E (NTM)</t>
  </si>
  <si>
    <t>Applied P/E Multiple</t>
  </si>
  <si>
    <t>SENSITIVITY — Implied Price vs. P/E Multiple &amp; NTM EPS</t>
  </si>
  <si>
    <t>Implied Share Price ($) — rows = applied P/E multiple, cols = NTM EPS variation</t>
  </si>
  <si>
    <t>P/E →  /  EPS % chg 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</si>
</sst>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(#,##0\);\-"/>
    <numFmt numFmtId="165" formatCode="0.00%;\(0.00%\);\-"/>
    <numFmt numFmtId="166" formatCode="0.0%;\(0.0%\);\-"/>
    <numFmt numFmtId="167" formatCode="0.0\x"/>
    <numFmt numFmtId="168" formatCode="\$#,##0.00"/>
    <numFmt numFmtId="169" formatCode="0.0%"/>
    <numFmt numFmtId="170" formatCode="\$#,##0"/>
    <numFmt numFmtId="171" formatCode="\$#,##0.0"/>
  </numFmts>
  <fonts count="29" x14ac:knownFonts="1">
    <font>
      <sz val="11"/>
      <color theme="1"/>
      <name val="Calibri"/>
      <family val="2"/>
      <charset val="1"/>
    </font>
    <font>
      <b/>
      <sz val="14"/>
      <color rgb="FF000000"/>
      <name val="Arial"/>
      <family val="2"/>
      <charset val="1"/>
    </font>
    <font>
      <b/>
      <sz val="10"/>
      <color rgb="FFFFFFFF"/>
      <name val="Arial"/>
      <family val="2"/>
      <charset val="1"/>
    </font>
    <font>
      <sz val="10"/>
      <color rgb="FF000000"/>
      <name val="Arial"/>
      <family val="2"/>
      <charset val="1"/>
    </font>
    <font>
      <sz val="10"/>
      <color rgb="FF0000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theme="1"/>
      <name val="Arial"/>
      <family val="2"/>
      <charset val="1"/>
    </font>
    <font>
      <b/>
      <sz val="16"/>
      <color rgb="FF1F3864"/>
      <name val="Arial"/>
      <family val="2"/>
      <charset val="1"/>
    </font>
    <font>
      <sz val="10"/>
      <name val="Arial"/>
      <family val="2"/>
      <charset val="1"/>
    </font>
    <font>
      <i/>
      <sz val="9"/>
      <color rgb="FF595959"/>
      <name val="Arial"/>
      <family val="2"/>
      <charset val="1"/>
    </font>
    <font>
      <b/>
      <sz val="10"/>
      <color rgb="FF000000"/>
      <name val="Arial"/>
      <family val="2"/>
      <charset val="1"/>
    </font>
    <font>
      <sz val="10"/>
      <color rgb="FF000000"/>
      <name val="Arial"/>
      <family val="2"/>
    </font>
    <font>
      <sz val="10"/>
      <color rgb="FF008000"/>
      <name val="Arial"/>
      <family val="2"/>
      <charset val="1"/>
    </font>
    <font>
      <b/>
      <sz val="14"/>
      <name val="Arial"/>
      <family val="2"/>
      <charset val="1"/>
    </font>
    <font>
      <b/>
      <sz val="14"/>
      <color rgb="FFC9A84C"/>
      <name val="Arial"/>
      <family val="2"/>
      <charset val="1"/>
    </font>
    <font>
      <i/>
      <sz val="9"/>
      <color rgb="FF888888"/>
      <name val="Arial"/>
      <family val="2"/>
      <charset val="1"/>
    </font>
    <font>
      <b/>
      <sz val="8"/>
      <color rgb="FF404040"/>
      <name val="Arial"/>
      <family val="2"/>
      <charset val="1"/>
    </font>
    <font>
      <sz val="8"/>
      <color rgb="FF0000FF"/>
      <name val="Arial"/>
      <family val="2"/>
      <charset val="1"/>
    </font>
    <font>
      <sz val="8"/>
      <color rgb="FF000000"/>
      <name val="Arial"/>
      <family val="2"/>
      <charset val="1"/>
    </font>
    <font>
      <b/>
      <sz val="11"/>
      <color rgb="FFC9A84C"/>
      <name val="Arial"/>
      <family val="2"/>
      <charset val="1"/>
    </font>
    <font>
      <sz val="9"/>
      <color rgb="FF404040"/>
      <name val="Arial"/>
      <family val="2"/>
      <charset val="1"/>
    </font>
    <font>
      <sz val="9"/>
      <color rgb="FF0000FF"/>
      <name val="Arial"/>
      <family val="2"/>
      <charset val="1"/>
    </font>
    <font>
      <i/>
      <sz val="8"/>
      <color rgb="FF888888"/>
      <name val="Arial"/>
      <family val="2"/>
      <charset val="1"/>
    </font>
    <font>
      <b/>
      <sz val="9"/>
      <color rgb="FF000000"/>
      <name val="Arial"/>
      <family val="2"/>
      <charset val="1"/>
    </font>
    <font>
      <b/>
      <sz val="9"/>
      <color rgb="FF0D1321"/>
      <name val="Arial"/>
      <family val="2"/>
      <charset val="1"/>
    </font>
    <font>
      <sz val="10"/>
      <color rgb="FF008000"/>
      <name val="Arial"/>
      <family val="2"/>
    </font>
    <font>
      <b/>
      <sz val="9"/>
      <color rgb="FF404040"/>
      <name val="Arial"/>
      <family val="2"/>
      <charset val="1"/>
    </font>
    <font>
      <b/>
      <sz val="9"/>
      <color rgb="FF008000"/>
      <name val="Arial"/>
      <family val="2"/>
      <charset val="1"/>
    </font>
    <font>
      <b/>
      <sz val="11"/>
      <color rgb="FF375623"/>
      <name val="Arial"/>
      <family val="2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1E2D47"/>
      </patternFill>
    </fill>
    <fill>
      <patternFill patternType="solid">
        <fgColor rgb="FF2E75B6"/>
        <bgColor rgb="FF0066CC"/>
      </patternFill>
    </fill>
    <fill>
      <patternFill patternType="solid">
        <fgColor rgb="FFF2F2F2"/>
        <bgColor rgb="FFF9F6EE"/>
      </patternFill>
    </fill>
    <fill>
      <patternFill patternType="solid">
        <fgColor rgb="FFFFFFFF"/>
        <bgColor rgb="FFF9F6EE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2F2F2"/>
      </patternFill>
    </fill>
    <fill>
      <patternFill patternType="solid">
        <fgColor rgb="FFC6EFCE"/>
        <bgColor rgb="FFD9E1F2"/>
      </patternFill>
    </fill>
    <fill>
      <patternFill patternType="solid">
        <fgColor rgb="FF833C00"/>
        <bgColor rgb="FF993366"/>
      </patternFill>
    </fill>
    <fill>
      <patternFill patternType="solid">
        <fgColor rgb="FF0D1321"/>
        <bgColor rgb="FF000000"/>
      </patternFill>
    </fill>
    <fill>
      <patternFill patternType="solid">
        <fgColor rgb="FFFFF8E7"/>
        <bgColor rgb="FFF9F6EE"/>
      </patternFill>
    </fill>
    <fill>
      <patternFill patternType="solid">
        <fgColor rgb="FF1E2D47"/>
        <bgColor rgb="FF1F3864"/>
      </patternFill>
    </fill>
    <fill>
      <patternFill patternType="solid">
        <fgColor rgb="FFF9F6EE"/>
        <bgColor rgb="FFFFF8E7"/>
      </patternFill>
    </fill>
    <fill>
      <patternFill patternType="solid">
        <fgColor rgb="FFD9D9D9"/>
        <bgColor rgb="FFD9E1F2"/>
      </patternFill>
    </fill>
    <fill>
      <patternFill patternType="solid">
        <fgColor rgb="FFFFFF00"/>
        <bgColor rgb="FFFFFF00"/>
      </patternFill>
    </fill>
  </fills>
  <borders count="5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/>
      <diagonal/>
    </border>
  </borders>
  <cellStyleXfs count="1">
    <xf numFmtId="0" fontId="0" fillId="0" borderId="0"/>
  </cellStyleXfs>
  <cellXfs count="136">
    <xf numFmtId="0" fontId="0" fillId="0" borderId="0" xfId="0"/>
    <xf numFmtId="0" fontId="2" fillId="3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left" vertical="center"/>
    </xf>
    <xf numFmtId="164" fontId="4" fillId="4" borderId="0" xfId="0" applyNumberFormat="1" applyFont="1" applyFill="1" applyAlignment="1">
      <alignment horizontal="center" vertical="center"/>
    </xf>
    <xf numFmtId="0" fontId="5" fillId="4" borderId="0" xfId="0" applyFont="1" applyFill="1" applyAlignment="1">
      <alignment horizontal="center" vertical="center"/>
    </xf>
    <xf numFmtId="0" fontId="5" fillId="4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165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65" fontId="4" fillId="4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/>
    <xf numFmtId="0" fontId="0" fillId="5" borderId="0" xfId="0" applyFill="1"/>
    <xf numFmtId="166" fontId="4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left" vertical="center" wrapText="1"/>
    </xf>
    <xf numFmtId="166" fontId="4" fillId="4" borderId="0" xfId="0" applyNumberFormat="1" applyFont="1" applyFill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2" fontId="4" fillId="4" borderId="0" xfId="0" applyNumberFormat="1" applyFont="1" applyFill="1" applyAlignment="1">
      <alignment horizontal="center" vertical="center"/>
    </xf>
    <xf numFmtId="166" fontId="3" fillId="5" borderId="0" xfId="0" applyNumberFormat="1" applyFont="1" applyFill="1" applyAlignment="1">
      <alignment horizontal="center" vertical="center"/>
    </xf>
    <xf numFmtId="166" fontId="3" fillId="4" borderId="0" xfId="0" applyNumberFormat="1" applyFont="1" applyFill="1" applyAlignment="1">
      <alignment horizontal="center" vertical="center"/>
    </xf>
    <xf numFmtId="165" fontId="3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/>
    </xf>
    <xf numFmtId="167" fontId="4" fillId="4" borderId="0" xfId="0" applyNumberFormat="1" applyFont="1" applyFill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  <xf numFmtId="168" fontId="4" fillId="0" borderId="0" xfId="0" applyNumberFormat="1" applyFont="1" applyAlignment="1">
      <alignment horizontal="center" vertical="center"/>
    </xf>
    <xf numFmtId="0" fontId="8" fillId="0" borderId="0" xfId="0" applyFont="1"/>
    <xf numFmtId="0" fontId="10" fillId="0" borderId="0" xfId="0" applyFont="1" applyAlignment="1">
      <alignment horizontal="left" vertical="center"/>
    </xf>
    <xf numFmtId="164" fontId="3" fillId="0" borderId="0" xfId="0" applyNumberFormat="1" applyFont="1" applyAlignment="1">
      <alignment horizontal="right" vertical="center"/>
    </xf>
    <xf numFmtId="166" fontId="3" fillId="0" borderId="0" xfId="0" applyNumberFormat="1" applyFont="1" applyAlignment="1">
      <alignment horizontal="right" vertical="center"/>
    </xf>
    <xf numFmtId="10" fontId="8" fillId="0" borderId="0" xfId="0" applyNumberFormat="1" applyFont="1"/>
    <xf numFmtId="164" fontId="3" fillId="4" borderId="0" xfId="0" applyNumberFormat="1" applyFont="1" applyFill="1" applyAlignment="1">
      <alignment horizontal="right" vertical="center"/>
    </xf>
    <xf numFmtId="164" fontId="3" fillId="6" borderId="0" xfId="0" applyNumberFormat="1" applyFont="1" applyFill="1" applyAlignment="1">
      <alignment horizontal="right" vertical="center"/>
    </xf>
    <xf numFmtId="9" fontId="3" fillId="0" borderId="0" xfId="0" applyNumberFormat="1" applyFont="1" applyAlignment="1">
      <alignment horizontal="right" vertical="center"/>
    </xf>
    <xf numFmtId="165" fontId="3" fillId="0" borderId="0" xfId="0" applyNumberFormat="1" applyFont="1" applyAlignment="1">
      <alignment horizontal="right" vertical="center"/>
    </xf>
    <xf numFmtId="164" fontId="11" fillId="0" borderId="0" xfId="0" applyNumberFormat="1" applyFont="1" applyAlignment="1">
      <alignment horizontal="right" vertical="center"/>
    </xf>
    <xf numFmtId="166" fontId="11" fillId="0" borderId="0" xfId="0" applyNumberFormat="1" applyFont="1" applyAlignment="1">
      <alignment horizontal="right" vertical="center"/>
    </xf>
    <xf numFmtId="164" fontId="3" fillId="7" borderId="0" xfId="0" applyNumberFormat="1" applyFont="1" applyFill="1" applyAlignment="1">
      <alignment horizontal="right" vertical="center"/>
    </xf>
    <xf numFmtId="0" fontId="10" fillId="6" borderId="0" xfId="0" applyFont="1" applyFill="1" applyAlignment="1">
      <alignment horizontal="center" vertical="center"/>
    </xf>
    <xf numFmtId="0" fontId="10" fillId="7" borderId="0" xfId="0" applyFont="1" applyFill="1" applyAlignment="1">
      <alignment horizontal="center" vertical="center"/>
    </xf>
    <xf numFmtId="164" fontId="12" fillId="0" borderId="0" xfId="0" applyNumberFormat="1" applyFont="1" applyAlignment="1">
      <alignment horizontal="right" vertical="center"/>
    </xf>
    <xf numFmtId="164" fontId="10" fillId="6" borderId="0" xfId="0" applyNumberFormat="1" applyFont="1" applyFill="1" applyAlignment="1">
      <alignment horizontal="right" vertical="center"/>
    </xf>
    <xf numFmtId="3" fontId="3" fillId="0" borderId="0" xfId="0" applyNumberFormat="1" applyFont="1" applyAlignment="1">
      <alignment horizontal="right" vertical="center"/>
    </xf>
    <xf numFmtId="168" fontId="10" fillId="8" borderId="0" xfId="0" applyNumberFormat="1" applyFont="1" applyFill="1" applyAlignment="1">
      <alignment horizontal="right" vertical="center"/>
    </xf>
    <xf numFmtId="168" fontId="3" fillId="0" borderId="0" xfId="0" applyNumberFormat="1" applyFont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0" fontId="10" fillId="0" borderId="0" xfId="0" applyFont="1" applyAlignment="1">
      <alignment horizontal="center" vertical="center"/>
    </xf>
    <xf numFmtId="169" fontId="2" fillId="3" borderId="0" xfId="0" applyNumberFormat="1" applyFont="1" applyFill="1" applyAlignment="1">
      <alignment horizontal="center"/>
    </xf>
    <xf numFmtId="169" fontId="10" fillId="0" borderId="0" xfId="0" applyNumberFormat="1" applyFont="1" applyAlignment="1">
      <alignment horizontal="center" vertical="center"/>
    </xf>
    <xf numFmtId="168" fontId="3" fillId="4" borderId="0" xfId="0" applyNumberFormat="1" applyFont="1" applyFill="1" applyAlignment="1">
      <alignment horizontal="center"/>
    </xf>
    <xf numFmtId="168" fontId="3" fillId="5" borderId="0" xfId="0" applyNumberFormat="1" applyFont="1" applyFill="1" applyAlignment="1">
      <alignment horizontal="center"/>
    </xf>
    <xf numFmtId="168" fontId="3" fillId="8" borderId="0" xfId="0" applyNumberFormat="1" applyFont="1" applyFill="1" applyAlignment="1">
      <alignment horizontal="center"/>
    </xf>
    <xf numFmtId="0" fontId="2" fillId="9" borderId="0" xfId="0" applyFont="1" applyFill="1" applyAlignment="1">
      <alignment horizontal="center"/>
    </xf>
    <xf numFmtId="168" fontId="3" fillId="7" borderId="0" xfId="0" applyNumberFormat="1" applyFont="1" applyFill="1" applyAlignment="1">
      <alignment horizontal="center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20" fillId="0" borderId="1" xfId="0" applyFont="1" applyBorder="1" applyAlignment="1">
      <alignment horizontal="left" vertical="center"/>
    </xf>
    <xf numFmtId="49" fontId="21" fillId="11" borderId="1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3" fontId="4" fillId="11" borderId="1" xfId="0" applyNumberFormat="1" applyFont="1" applyFill="1" applyBorder="1" applyAlignment="1">
      <alignment horizontal="center" vertical="center"/>
    </xf>
    <xf numFmtId="169" fontId="4" fillId="11" borderId="1" xfId="0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4" fontId="4" fillId="11" borderId="1" xfId="0" applyNumberFormat="1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3" fontId="4" fillId="5" borderId="1" xfId="0" applyNumberFormat="1" applyFont="1" applyFill="1" applyBorder="1" applyAlignment="1">
      <alignment horizontal="center" vertical="center"/>
    </xf>
    <xf numFmtId="170" fontId="5" fillId="5" borderId="1" xfId="0" applyNumberFormat="1" applyFont="1" applyFill="1" applyBorder="1" applyAlignment="1">
      <alignment horizontal="center" vertical="center"/>
    </xf>
    <xf numFmtId="167" fontId="5" fillId="5" borderId="1" xfId="0" applyNumberFormat="1" applyFont="1" applyFill="1" applyBorder="1" applyAlignment="1">
      <alignment horizontal="center" vertical="center"/>
    </xf>
    <xf numFmtId="169" fontId="5" fillId="5" borderId="1" xfId="0" applyNumberFormat="1" applyFont="1" applyFill="1" applyBorder="1" applyAlignment="1">
      <alignment horizontal="center" vertical="center"/>
    </xf>
    <xf numFmtId="0" fontId="9" fillId="5" borderId="1" xfId="0" applyFont="1" applyFill="1" applyBorder="1" applyAlignment="1">
      <alignment horizontal="left" vertical="center"/>
    </xf>
    <xf numFmtId="0" fontId="8" fillId="13" borderId="1" xfId="0" applyFont="1" applyFill="1" applyBorder="1" applyAlignment="1">
      <alignment horizontal="left" vertical="center"/>
    </xf>
    <xf numFmtId="0" fontId="4" fillId="13" borderId="1" xfId="0" applyFont="1" applyFill="1" applyBorder="1" applyAlignment="1">
      <alignment horizontal="center" vertical="center"/>
    </xf>
    <xf numFmtId="3" fontId="4" fillId="13" borderId="1" xfId="0" applyNumberFormat="1" applyFont="1" applyFill="1" applyBorder="1" applyAlignment="1">
      <alignment horizontal="center" vertical="center"/>
    </xf>
    <xf numFmtId="170" fontId="5" fillId="13" borderId="1" xfId="0" applyNumberFormat="1" applyFont="1" applyFill="1" applyBorder="1" applyAlignment="1">
      <alignment horizontal="center" vertical="center"/>
    </xf>
    <xf numFmtId="167" fontId="5" fillId="13" borderId="1" xfId="0" applyNumberFormat="1" applyFont="1" applyFill="1" applyBorder="1" applyAlignment="1">
      <alignment horizontal="center" vertical="center"/>
    </xf>
    <xf numFmtId="169" fontId="5" fillId="13" borderId="1" xfId="0" applyNumberFormat="1" applyFont="1" applyFill="1" applyBorder="1" applyAlignment="1">
      <alignment horizontal="center" vertical="center"/>
    </xf>
    <xf numFmtId="0" fontId="9" fillId="13" borderId="1" xfId="0" applyFont="1" applyFill="1" applyBorder="1" applyAlignment="1">
      <alignment horizontal="left" vertical="center"/>
    </xf>
    <xf numFmtId="0" fontId="8" fillId="13" borderId="2" xfId="0" applyFont="1" applyFill="1" applyBorder="1" applyAlignment="1">
      <alignment horizontal="left" vertical="center"/>
    </xf>
    <xf numFmtId="0" fontId="4" fillId="13" borderId="2" xfId="0" applyFont="1" applyFill="1" applyBorder="1" applyAlignment="1">
      <alignment horizontal="center" vertical="center"/>
    </xf>
    <xf numFmtId="3" fontId="4" fillId="13" borderId="2" xfId="0" applyNumberFormat="1" applyFont="1" applyFill="1" applyBorder="1" applyAlignment="1">
      <alignment horizontal="center" vertical="center"/>
    </xf>
    <xf numFmtId="170" fontId="5" fillId="13" borderId="2" xfId="0" applyNumberFormat="1" applyFont="1" applyFill="1" applyBorder="1" applyAlignment="1">
      <alignment horizontal="center" vertical="center"/>
    </xf>
    <xf numFmtId="167" fontId="5" fillId="13" borderId="2" xfId="0" applyNumberFormat="1" applyFont="1" applyFill="1" applyBorder="1" applyAlignment="1">
      <alignment horizontal="center" vertical="center"/>
    </xf>
    <xf numFmtId="169" fontId="5" fillId="13" borderId="2" xfId="0" applyNumberFormat="1" applyFont="1" applyFill="1" applyBorder="1" applyAlignment="1">
      <alignment horizontal="center" vertical="center"/>
    </xf>
    <xf numFmtId="0" fontId="9" fillId="13" borderId="2" xfId="0" applyFont="1" applyFill="1" applyBorder="1" applyAlignment="1">
      <alignment horizontal="left" vertical="center"/>
    </xf>
    <xf numFmtId="0" fontId="23" fillId="14" borderId="3" xfId="0" applyFont="1" applyFill="1" applyBorder="1"/>
    <xf numFmtId="0" fontId="0" fillId="14" borderId="3" xfId="0" applyFill="1" applyBorder="1"/>
    <xf numFmtId="167" fontId="23" fillId="14" borderId="3" xfId="0" applyNumberFormat="1" applyFont="1" applyFill="1" applyBorder="1" applyAlignment="1">
      <alignment horizontal="center" vertical="center"/>
    </xf>
    <xf numFmtId="0" fontId="23" fillId="14" borderId="1" xfId="0" applyFont="1" applyFill="1" applyBorder="1"/>
    <xf numFmtId="0" fontId="0" fillId="14" borderId="1" xfId="0" applyFill="1" applyBorder="1"/>
    <xf numFmtId="167" fontId="23" fillId="14" borderId="1" xfId="0" applyNumberFormat="1" applyFont="1" applyFill="1" applyBorder="1" applyAlignment="1">
      <alignment horizontal="center" vertical="center"/>
    </xf>
    <xf numFmtId="167" fontId="23" fillId="11" borderId="1" xfId="0" applyNumberFormat="1" applyFont="1" applyFill="1" applyBorder="1" applyAlignment="1">
      <alignment horizontal="center" vertical="center"/>
    </xf>
    <xf numFmtId="171" fontId="5" fillId="13" borderId="1" xfId="0" applyNumberFormat="1" applyFont="1" applyFill="1" applyBorder="1" applyAlignment="1">
      <alignment horizontal="center" vertical="center"/>
    </xf>
    <xf numFmtId="3" fontId="5" fillId="13" borderId="1" xfId="0" applyNumberFormat="1" applyFont="1" applyFill="1" applyBorder="1" applyAlignment="1">
      <alignment horizontal="center" vertical="center"/>
    </xf>
    <xf numFmtId="168" fontId="23" fillId="11" borderId="1" xfId="0" applyNumberFormat="1" applyFont="1" applyFill="1" applyBorder="1" applyAlignment="1">
      <alignment horizontal="center" vertical="center"/>
    </xf>
    <xf numFmtId="168" fontId="5" fillId="13" borderId="1" xfId="0" applyNumberFormat="1" applyFont="1" applyFill="1" applyBorder="1" applyAlignment="1">
      <alignment horizontal="center" vertical="center"/>
    </xf>
    <xf numFmtId="169" fontId="23" fillId="11" borderId="1" xfId="0" applyNumberFormat="1" applyFont="1" applyFill="1" applyBorder="1" applyAlignment="1">
      <alignment horizontal="center" vertical="center"/>
    </xf>
    <xf numFmtId="0" fontId="23" fillId="0" borderId="0" xfId="0" applyFont="1"/>
    <xf numFmtId="167" fontId="2" fillId="12" borderId="1" xfId="0" applyNumberFormat="1" applyFont="1" applyFill="1" applyBorder="1" applyAlignment="1">
      <alignment horizontal="center" vertical="center"/>
    </xf>
    <xf numFmtId="168" fontId="24" fillId="11" borderId="1" xfId="0" applyNumberFormat="1" applyFont="1" applyFill="1" applyBorder="1" applyAlignment="1">
      <alignment horizontal="center" vertical="center"/>
    </xf>
    <xf numFmtId="168" fontId="5" fillId="5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  <xf numFmtId="4" fontId="4" fillId="5" borderId="1" xfId="0" applyNumberFormat="1" applyFont="1" applyFill="1" applyBorder="1" applyAlignment="1">
      <alignment horizontal="center" vertical="center"/>
    </xf>
    <xf numFmtId="169" fontId="4" fillId="5" borderId="1" xfId="0" applyNumberFormat="1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left" vertical="center"/>
    </xf>
    <xf numFmtId="4" fontId="4" fillId="13" borderId="1" xfId="0" applyNumberFormat="1" applyFont="1" applyFill="1" applyBorder="1" applyAlignment="1">
      <alignment horizontal="center" vertical="center"/>
    </xf>
    <xf numFmtId="169" fontId="4" fillId="13" borderId="1" xfId="0" applyNumberFormat="1" applyFont="1" applyFill="1" applyBorder="1" applyAlignment="1">
      <alignment horizontal="center" vertical="center"/>
    </xf>
    <xf numFmtId="0" fontId="4" fillId="13" borderId="2" xfId="0" applyFont="1" applyFill="1" applyBorder="1" applyAlignment="1">
      <alignment horizontal="left" vertical="center"/>
    </xf>
    <xf numFmtId="4" fontId="4" fillId="13" borderId="2" xfId="0" applyNumberFormat="1" applyFont="1" applyFill="1" applyBorder="1" applyAlignment="1">
      <alignment horizontal="center" vertical="center"/>
    </xf>
    <xf numFmtId="169" fontId="4" fillId="13" borderId="2" xfId="0" applyNumberFormat="1" applyFont="1" applyFill="1" applyBorder="1" applyAlignment="1">
      <alignment horizontal="center" vertical="center"/>
    </xf>
    <xf numFmtId="169" fontId="4" fillId="11" borderId="1" xfId="0" applyNumberFormat="1" applyFont="1" applyFill="1" applyBorder="1" applyAlignment="1">
      <alignment horizontal="center"/>
    </xf>
    <xf numFmtId="168" fontId="25" fillId="5" borderId="1" xfId="0" applyNumberFormat="1" applyFont="1" applyFill="1" applyBorder="1" applyAlignment="1">
      <alignment horizontal="center" vertical="center"/>
    </xf>
    <xf numFmtId="168" fontId="25" fillId="13" borderId="1" xfId="0" applyNumberFormat="1" applyFont="1" applyFill="1" applyBorder="1" applyAlignment="1">
      <alignment horizontal="center" vertical="center"/>
    </xf>
    <xf numFmtId="0" fontId="26" fillId="0" borderId="1" xfId="0" applyFont="1" applyBorder="1"/>
    <xf numFmtId="169" fontId="23" fillId="15" borderId="1" xfId="0" applyNumberFormat="1" applyFont="1" applyFill="1" applyBorder="1" applyAlignment="1">
      <alignment horizontal="center" vertical="center"/>
    </xf>
    <xf numFmtId="0" fontId="19" fillId="10" borderId="1" xfId="0" applyFont="1" applyFill="1" applyBorder="1"/>
    <xf numFmtId="0" fontId="0" fillId="10" borderId="1" xfId="0" applyFill="1" applyBorder="1"/>
    <xf numFmtId="168" fontId="14" fillId="10" borderId="1" xfId="0" applyNumberFormat="1" applyFont="1" applyFill="1" applyBorder="1" applyAlignment="1">
      <alignment horizontal="center" vertical="center"/>
    </xf>
    <xf numFmtId="168" fontId="27" fillId="11" borderId="1" xfId="0" applyNumberFormat="1" applyFont="1" applyFill="1" applyBorder="1" applyAlignment="1">
      <alignment horizontal="center" vertical="center"/>
    </xf>
    <xf numFmtId="169" fontId="27" fillId="11" borderId="1" xfId="0" applyNumberFormat="1" applyFont="1" applyFill="1" applyBorder="1" applyAlignment="1">
      <alignment horizontal="center" vertical="center"/>
    </xf>
    <xf numFmtId="49" fontId="28" fillId="11" borderId="1" xfId="0" applyNumberFormat="1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0" xfId="0"/>
    <xf numFmtId="0" fontId="2" fillId="3" borderId="0" xfId="0" applyFont="1" applyFill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5" fillId="0" borderId="0" xfId="0" applyFont="1"/>
    <xf numFmtId="0" fontId="19" fillId="10" borderId="0" xfId="0" applyFont="1" applyFill="1" applyAlignment="1">
      <alignment horizontal="left" vertical="center"/>
    </xf>
    <xf numFmtId="0" fontId="14" fillId="10" borderId="0" xfId="0" applyFont="1" applyFill="1" applyAlignment="1">
      <alignment horizontal="left" vertical="center"/>
    </xf>
    <xf numFmtId="49" fontId="21" fillId="5" borderId="4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FF8E7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E1F2"/>
      <rgbColor rgb="FFC6EFCE"/>
      <rgbColor rgb="FFF9F6EE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C9A84C"/>
      <rgbColor rgb="FF1F3864"/>
      <rgbColor rgb="FF339966"/>
      <rgbColor rgb="FF0D1321"/>
      <rgbColor rgb="FF1E2D47"/>
      <rgbColor rgb="FF833C00"/>
      <rgbColor rgb="FF993366"/>
      <rgbColor rgb="FF375623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1"/>
  <sheetViews>
    <sheetView showGridLines="0" topLeftCell="A23" zoomScaleNormal="100" workbookViewId="0">
      <selection activeCell="B41" sqref="B41"/>
    </sheetView>
  </sheetViews>
  <sheetFormatPr defaultColWidth="8.7265625" defaultRowHeight="14.5" x14ac:dyDescent="0.35"/>
  <cols>
    <col min="1" max="1" width="32" customWidth="1"/>
    <col min="2" max="2" width="14" customWidth="1"/>
    <col min="3" max="3" width="8" customWidth="1"/>
    <col min="4" max="4" width="71.81640625" customWidth="1"/>
  </cols>
  <sheetData>
    <row r="1" spans="1:7" ht="30" customHeight="1" x14ac:dyDescent="0.35">
      <c r="A1" s="2" t="s">
        <v>22</v>
      </c>
    </row>
    <row r="3" spans="1:7" ht="15" customHeight="1" x14ac:dyDescent="0.35">
      <c r="A3" s="3" t="s">
        <v>23</v>
      </c>
      <c r="B3" s="3" t="s">
        <v>24</v>
      </c>
      <c r="C3" s="3" t="s">
        <v>25</v>
      </c>
      <c r="D3" s="3" t="s">
        <v>7</v>
      </c>
    </row>
    <row r="4" spans="1:7" ht="15" customHeight="1" x14ac:dyDescent="0.35">
      <c r="A4" s="1" t="s">
        <v>26</v>
      </c>
      <c r="B4" s="1"/>
      <c r="C4" s="1"/>
      <c r="D4" s="1"/>
    </row>
    <row r="5" spans="1:7" ht="15" customHeight="1" x14ac:dyDescent="0.35">
      <c r="A5" s="4" t="s">
        <v>27</v>
      </c>
      <c r="B5" s="5">
        <v>130497</v>
      </c>
      <c r="C5" s="6" t="s">
        <v>28</v>
      </c>
      <c r="D5" s="7" t="s">
        <v>29</v>
      </c>
    </row>
    <row r="6" spans="1:7" ht="15" customHeight="1" x14ac:dyDescent="0.35">
      <c r="A6" s="8" t="s">
        <v>30</v>
      </c>
      <c r="B6" s="9">
        <v>0.65469999999999995</v>
      </c>
      <c r="C6" s="10" t="s">
        <v>31</v>
      </c>
      <c r="D6" s="11" t="s">
        <v>32</v>
      </c>
    </row>
    <row r="7" spans="1:7" ht="15" customHeight="1" x14ac:dyDescent="0.35">
      <c r="A7" s="7" t="s">
        <v>33</v>
      </c>
      <c r="B7" s="12">
        <v>0.6704</v>
      </c>
      <c r="C7" s="6" t="s">
        <v>31</v>
      </c>
      <c r="D7" s="7" t="s">
        <v>32</v>
      </c>
    </row>
    <row r="8" spans="1:7" ht="15" customHeight="1" x14ac:dyDescent="0.35">
      <c r="A8" s="8" t="s">
        <v>34</v>
      </c>
      <c r="B8" s="9">
        <v>0.29670000000000002</v>
      </c>
      <c r="C8" s="13" t="s">
        <v>31</v>
      </c>
      <c r="D8" s="14" t="s">
        <v>32</v>
      </c>
      <c r="G8" s="15"/>
    </row>
    <row r="9" spans="1:7" ht="15" customHeight="1" x14ac:dyDescent="0.35">
      <c r="A9" s="7" t="s">
        <v>35</v>
      </c>
      <c r="B9" s="12">
        <v>0.15</v>
      </c>
      <c r="C9" s="6" t="s">
        <v>31</v>
      </c>
      <c r="D9" s="7" t="s">
        <v>36</v>
      </c>
    </row>
    <row r="10" spans="1:7" ht="15" customHeight="1" x14ac:dyDescent="0.35">
      <c r="A10" s="8" t="s">
        <v>37</v>
      </c>
      <c r="B10" s="9">
        <v>0.11</v>
      </c>
      <c r="C10" s="13" t="s">
        <v>31</v>
      </c>
      <c r="D10" s="11" t="s">
        <v>36</v>
      </c>
    </row>
    <row r="11" spans="1:7" ht="15" customHeight="1" x14ac:dyDescent="0.35">
      <c r="A11" s="8" t="s">
        <v>38</v>
      </c>
      <c r="B11" s="16">
        <v>0.09</v>
      </c>
      <c r="C11" s="10" t="s">
        <v>31</v>
      </c>
      <c r="D11" s="11" t="s">
        <v>39</v>
      </c>
    </row>
    <row r="12" spans="1:7" ht="39" customHeight="1" x14ac:dyDescent="0.35">
      <c r="A12" s="4" t="s">
        <v>40</v>
      </c>
      <c r="B12" s="12">
        <v>0.08</v>
      </c>
      <c r="C12" s="6" t="s">
        <v>31</v>
      </c>
      <c r="D12" s="7" t="s">
        <v>41</v>
      </c>
    </row>
    <row r="13" spans="1:7" ht="15" customHeight="1" x14ac:dyDescent="0.35">
      <c r="A13" s="8" t="s">
        <v>42</v>
      </c>
      <c r="B13" s="16">
        <v>7.0000000000000007E-2</v>
      </c>
      <c r="C13" s="10" t="s">
        <v>31</v>
      </c>
      <c r="D13" s="11" t="s">
        <v>43</v>
      </c>
    </row>
    <row r="14" spans="1:7" ht="15" customHeight="1" x14ac:dyDescent="0.35">
      <c r="A14" s="4" t="s">
        <v>44</v>
      </c>
      <c r="B14" s="12">
        <v>0.06</v>
      </c>
      <c r="C14" s="6" t="s">
        <v>31</v>
      </c>
      <c r="D14" s="7" t="s">
        <v>45</v>
      </c>
    </row>
    <row r="15" spans="1:7" ht="15" customHeight="1" x14ac:dyDescent="0.35">
      <c r="A15" s="8" t="s">
        <v>46</v>
      </c>
      <c r="B15" s="16">
        <v>0.05</v>
      </c>
      <c r="C15" s="10" t="s">
        <v>31</v>
      </c>
      <c r="D15" s="11" t="s">
        <v>47</v>
      </c>
    </row>
    <row r="16" spans="1:7" ht="15" customHeight="1" x14ac:dyDescent="0.35">
      <c r="A16" s="7" t="s">
        <v>48</v>
      </c>
      <c r="B16" s="12">
        <v>2.75E-2</v>
      </c>
      <c r="C16" s="6" t="s">
        <v>31</v>
      </c>
      <c r="D16" s="7" t="s">
        <v>49</v>
      </c>
    </row>
    <row r="17" spans="1:4" ht="61.5" customHeight="1" x14ac:dyDescent="0.35">
      <c r="A17" s="8" t="s">
        <v>50</v>
      </c>
      <c r="B17" s="9">
        <v>0.621</v>
      </c>
      <c r="C17" s="10" t="s">
        <v>31</v>
      </c>
      <c r="D17" s="17" t="s">
        <v>51</v>
      </c>
    </row>
    <row r="18" spans="1:4" ht="15" customHeight="1" x14ac:dyDescent="0.35">
      <c r="A18" s="4" t="s">
        <v>52</v>
      </c>
      <c r="B18" s="12">
        <v>0.63</v>
      </c>
      <c r="C18" s="6" t="s">
        <v>31</v>
      </c>
      <c r="D18" s="7" t="s">
        <v>53</v>
      </c>
    </row>
    <row r="19" spans="1:4" ht="15" customHeight="1" x14ac:dyDescent="0.35">
      <c r="A19" s="8" t="s">
        <v>54</v>
      </c>
      <c r="B19" s="9">
        <v>0.64</v>
      </c>
      <c r="C19" s="10" t="s">
        <v>31</v>
      </c>
      <c r="D19" s="11" t="s">
        <v>55</v>
      </c>
    </row>
    <row r="20" spans="1:4" ht="15" customHeight="1" x14ac:dyDescent="0.35">
      <c r="A20" s="4" t="s">
        <v>56</v>
      </c>
      <c r="B20" s="12">
        <v>0.65</v>
      </c>
      <c r="C20" s="6" t="s">
        <v>31</v>
      </c>
      <c r="D20" s="7" t="s">
        <v>57</v>
      </c>
    </row>
    <row r="21" spans="1:4" ht="15" customHeight="1" x14ac:dyDescent="0.35">
      <c r="A21" t="s">
        <v>58</v>
      </c>
      <c r="B21" s="9">
        <v>0.65</v>
      </c>
      <c r="C21" s="10" t="s">
        <v>31</v>
      </c>
      <c r="D21" s="11" t="s">
        <v>59</v>
      </c>
    </row>
    <row r="22" spans="1:4" ht="15" customHeight="1" x14ac:dyDescent="0.35">
      <c r="A22" s="4" t="s">
        <v>60</v>
      </c>
      <c r="B22" s="12">
        <v>0.65</v>
      </c>
      <c r="C22" s="6" t="s">
        <v>31</v>
      </c>
      <c r="D22" s="7" t="s">
        <v>61</v>
      </c>
    </row>
    <row r="23" spans="1:4" ht="15" customHeight="1" x14ac:dyDescent="0.35">
      <c r="A23" s="8" t="s">
        <v>62</v>
      </c>
      <c r="B23" s="16">
        <v>0.64</v>
      </c>
      <c r="C23" s="10" t="s">
        <v>31</v>
      </c>
      <c r="D23" s="11" t="s">
        <v>63</v>
      </c>
    </row>
    <row r="24" spans="1:4" ht="15" customHeight="1" x14ac:dyDescent="0.35">
      <c r="A24" s="4" t="s">
        <v>64</v>
      </c>
      <c r="B24" s="12">
        <v>0.63</v>
      </c>
      <c r="C24" s="6" t="s">
        <v>31</v>
      </c>
      <c r="D24" s="7" t="s">
        <v>65</v>
      </c>
    </row>
    <row r="25" spans="1:4" ht="15" customHeight="1" x14ac:dyDescent="0.35">
      <c r="A25" s="8" t="s">
        <v>66</v>
      </c>
      <c r="B25" s="16">
        <v>0.62</v>
      </c>
      <c r="C25" s="10" t="s">
        <v>31</v>
      </c>
      <c r="D25" s="11" t="s">
        <v>67</v>
      </c>
    </row>
    <row r="26" spans="1:4" ht="15" customHeight="1" x14ac:dyDescent="0.35">
      <c r="A26" s="4" t="s">
        <v>68</v>
      </c>
      <c r="B26" s="12">
        <v>0.61</v>
      </c>
      <c r="C26" s="6" t="s">
        <v>31</v>
      </c>
      <c r="D26" s="7" t="s">
        <v>69</v>
      </c>
    </row>
    <row r="27" spans="1:4" ht="15" customHeight="1" x14ac:dyDescent="0.35">
      <c r="A27" s="8" t="s">
        <v>70</v>
      </c>
      <c r="B27" s="9">
        <v>0.159</v>
      </c>
      <c r="C27" s="10" t="s">
        <v>31</v>
      </c>
      <c r="D27" s="11" t="s">
        <v>71</v>
      </c>
    </row>
    <row r="28" spans="1:4" ht="15" customHeight="1" x14ac:dyDescent="0.35">
      <c r="A28" s="4" t="s">
        <v>72</v>
      </c>
      <c r="B28" s="12">
        <v>1.4E-2</v>
      </c>
      <c r="C28" s="6" t="s">
        <v>31</v>
      </c>
      <c r="D28" s="7" t="s">
        <v>73</v>
      </c>
    </row>
    <row r="29" spans="1:4" ht="15" customHeight="1" x14ac:dyDescent="0.35">
      <c r="A29" s="8" t="s">
        <v>74</v>
      </c>
      <c r="B29" s="9">
        <v>2.5000000000000001E-2</v>
      </c>
      <c r="C29" s="10" t="s">
        <v>31</v>
      </c>
      <c r="D29" s="11" t="s">
        <v>75</v>
      </c>
    </row>
    <row r="30" spans="1:4" ht="15" customHeight="1" x14ac:dyDescent="0.35">
      <c r="A30" s="4" t="s">
        <v>76</v>
      </c>
      <c r="B30" s="12">
        <v>0.01</v>
      </c>
      <c r="C30" s="6" t="s">
        <v>31</v>
      </c>
      <c r="D30" s="7" t="s">
        <v>77</v>
      </c>
    </row>
    <row r="31" spans="1:4" ht="15" customHeight="1" x14ac:dyDescent="0.35"/>
    <row r="32" spans="1:4" ht="15" customHeight="1" x14ac:dyDescent="0.35">
      <c r="A32" s="1" t="s">
        <v>78</v>
      </c>
      <c r="B32" s="1"/>
      <c r="C32" s="1"/>
      <c r="D32" s="1"/>
    </row>
    <row r="33" spans="1:4" ht="15" customHeight="1" x14ac:dyDescent="0.35">
      <c r="A33" s="4" t="s">
        <v>79</v>
      </c>
      <c r="B33" s="18">
        <v>4.2999999999999997E-2</v>
      </c>
      <c r="C33" s="6" t="s">
        <v>31</v>
      </c>
      <c r="D33" s="7" t="s">
        <v>80</v>
      </c>
    </row>
    <row r="34" spans="1:4" ht="15" customHeight="1" x14ac:dyDescent="0.35">
      <c r="A34" s="8" t="s">
        <v>81</v>
      </c>
      <c r="B34" s="19">
        <v>5.5E-2</v>
      </c>
      <c r="C34" s="10" t="s">
        <v>31</v>
      </c>
      <c r="D34" s="11" t="s">
        <v>82</v>
      </c>
    </row>
    <row r="35" spans="1:4" ht="15" customHeight="1" x14ac:dyDescent="0.35">
      <c r="A35" s="4" t="s">
        <v>83</v>
      </c>
      <c r="B35" s="20">
        <v>1.22</v>
      </c>
      <c r="C35" s="6" t="s">
        <v>84</v>
      </c>
      <c r="D35" s="7" t="s">
        <v>85</v>
      </c>
    </row>
    <row r="36" spans="1:4" ht="15" customHeight="1" x14ac:dyDescent="0.35">
      <c r="A36" s="8" t="s">
        <v>86</v>
      </c>
      <c r="B36" s="21">
        <f>B33+B35*B34</f>
        <v>0.11009999999999999</v>
      </c>
      <c r="C36" s="10" t="s">
        <v>31</v>
      </c>
      <c r="D36" s="11" t="s">
        <v>87</v>
      </c>
    </row>
    <row r="37" spans="1:4" ht="15" customHeight="1" x14ac:dyDescent="0.35">
      <c r="A37" s="4" t="s">
        <v>88</v>
      </c>
      <c r="B37" s="18">
        <v>3.5000000000000003E-2</v>
      </c>
      <c r="C37" s="6" t="s">
        <v>31</v>
      </c>
      <c r="D37" s="7" t="s">
        <v>89</v>
      </c>
    </row>
    <row r="38" spans="1:4" ht="15" customHeight="1" x14ac:dyDescent="0.35">
      <c r="A38" s="8" t="s">
        <v>90</v>
      </c>
      <c r="B38" s="19">
        <v>0.93</v>
      </c>
      <c r="C38" s="10" t="s">
        <v>31</v>
      </c>
      <c r="D38" s="11" t="s">
        <v>91</v>
      </c>
    </row>
    <row r="39" spans="1:4" ht="15" customHeight="1" x14ac:dyDescent="0.35">
      <c r="A39" s="4" t="s">
        <v>92</v>
      </c>
      <c r="B39" s="22">
        <f>1-B38</f>
        <v>6.9999999999999951E-2</v>
      </c>
      <c r="C39" s="6" t="s">
        <v>31</v>
      </c>
      <c r="D39" s="7" t="s">
        <v>93</v>
      </c>
    </row>
    <row r="40" spans="1:4" ht="15" customHeight="1" x14ac:dyDescent="0.35">
      <c r="A40" s="8" t="s">
        <v>94</v>
      </c>
      <c r="B40" s="23">
        <f>B38*B36+B39*B37*(1-B27)</f>
        <v>0.10445345</v>
      </c>
      <c r="C40" s="10" t="s">
        <v>31</v>
      </c>
      <c r="D40" s="11" t="s">
        <v>95</v>
      </c>
    </row>
    <row r="42" spans="1:4" ht="15" customHeight="1" x14ac:dyDescent="0.35">
      <c r="A42" s="1" t="s">
        <v>96</v>
      </c>
      <c r="B42" s="1"/>
      <c r="C42" s="1"/>
      <c r="D42" s="1"/>
    </row>
    <row r="43" spans="1:4" ht="15" customHeight="1" x14ac:dyDescent="0.35">
      <c r="A43" s="4" t="s">
        <v>48</v>
      </c>
      <c r="B43" s="18">
        <v>0.03</v>
      </c>
      <c r="C43" s="6" t="s">
        <v>31</v>
      </c>
      <c r="D43" s="7" t="s">
        <v>97</v>
      </c>
    </row>
    <row r="44" spans="1:4" ht="15" customHeight="1" x14ac:dyDescent="0.35">
      <c r="A44" s="8" t="s">
        <v>98</v>
      </c>
      <c r="B44" s="24">
        <v>21</v>
      </c>
      <c r="C44" s="10" t="s">
        <v>84</v>
      </c>
      <c r="D44" s="11" t="s">
        <v>99</v>
      </c>
    </row>
    <row r="45" spans="1:4" ht="15" customHeight="1" x14ac:dyDescent="0.35">
      <c r="A45" s="4" t="s">
        <v>100</v>
      </c>
      <c r="B45" s="25">
        <v>30</v>
      </c>
      <c r="C45" s="6" t="s">
        <v>84</v>
      </c>
      <c r="D45" s="7" t="s">
        <v>101</v>
      </c>
    </row>
    <row r="47" spans="1:4" ht="15" customHeight="1" x14ac:dyDescent="0.35">
      <c r="A47" s="1" t="s">
        <v>102</v>
      </c>
      <c r="B47" s="1"/>
      <c r="C47" s="1"/>
      <c r="D47" s="1"/>
    </row>
    <row r="48" spans="1:4" ht="15" customHeight="1" x14ac:dyDescent="0.35">
      <c r="A48" s="4" t="s">
        <v>103</v>
      </c>
      <c r="B48" s="5">
        <v>8462</v>
      </c>
      <c r="C48" s="6" t="s">
        <v>28</v>
      </c>
      <c r="D48" s="7" t="s">
        <v>104</v>
      </c>
    </row>
    <row r="49" spans="1:4" ht="15" customHeight="1" x14ac:dyDescent="0.35">
      <c r="A49" s="8" t="s">
        <v>105</v>
      </c>
      <c r="B49" s="26">
        <v>15230</v>
      </c>
      <c r="C49" s="10" t="s">
        <v>28</v>
      </c>
      <c r="D49" s="11" t="s">
        <v>106</v>
      </c>
    </row>
    <row r="50" spans="1:4" ht="15" customHeight="1" x14ac:dyDescent="0.35">
      <c r="A50" s="4" t="s">
        <v>107</v>
      </c>
      <c r="B50" s="5">
        <v>24483</v>
      </c>
      <c r="C50" s="6" t="s">
        <v>108</v>
      </c>
      <c r="D50" s="7" t="s">
        <v>109</v>
      </c>
    </row>
    <row r="51" spans="1:4" ht="15" customHeight="1" x14ac:dyDescent="0.35">
      <c r="A51" s="8" t="s">
        <v>110</v>
      </c>
      <c r="B51" s="27">
        <v>181.69</v>
      </c>
      <c r="C51" s="10" t="s">
        <v>111</v>
      </c>
      <c r="D51" s="11" t="s">
        <v>112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0"/>
  <sheetViews>
    <sheetView showGridLines="0" tabSelected="1" topLeftCell="A30" zoomScaleNormal="100" workbookViewId="0">
      <selection activeCell="R32" sqref="R32"/>
    </sheetView>
  </sheetViews>
  <sheetFormatPr defaultColWidth="8.7265625" defaultRowHeight="14.5" x14ac:dyDescent="0.35"/>
  <cols>
    <col min="1" max="1" width="35" customWidth="1"/>
    <col min="2" max="11" width="12" customWidth="1"/>
    <col min="12" max="12" width="16.54296875" customWidth="1"/>
    <col min="13" max="13" width="14" customWidth="1"/>
    <col min="14" max="14" width="11.81640625" customWidth="1"/>
  </cols>
  <sheetData>
    <row r="1" spans="1:15" ht="31.5" customHeight="1" x14ac:dyDescent="0.35">
      <c r="A1" s="128" t="s">
        <v>113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28"/>
      <c r="O1" s="28"/>
    </row>
    <row r="2" spans="1:15" ht="18" customHeight="1" x14ac:dyDescent="0.35">
      <c r="A2" s="127" t="s">
        <v>114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  <c r="L2" s="125"/>
      <c r="M2" s="125"/>
      <c r="N2" s="28"/>
      <c r="O2" s="28"/>
    </row>
    <row r="3" spans="1:15" ht="15" customHeight="1" x14ac:dyDescent="0.35">
      <c r="A3" s="28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</row>
    <row r="4" spans="1:15" ht="15" customHeight="1" x14ac:dyDescent="0.35">
      <c r="A4" s="29" t="s">
        <v>115</v>
      </c>
      <c r="B4" s="3" t="s">
        <v>116</v>
      </c>
      <c r="C4" s="3" t="s">
        <v>117</v>
      </c>
      <c r="D4" s="3" t="s">
        <v>118</v>
      </c>
      <c r="E4" s="3" t="s">
        <v>119</v>
      </c>
      <c r="F4" s="3" t="s">
        <v>120</v>
      </c>
      <c r="G4" s="3" t="s">
        <v>121</v>
      </c>
      <c r="H4" s="3" t="s">
        <v>122</v>
      </c>
      <c r="I4" s="3" t="s">
        <v>123</v>
      </c>
      <c r="J4" s="3" t="s">
        <v>124</v>
      </c>
      <c r="K4" s="3" t="s">
        <v>125</v>
      </c>
      <c r="L4" s="3" t="s">
        <v>126</v>
      </c>
      <c r="M4" s="3" t="s">
        <v>127</v>
      </c>
      <c r="N4" s="28"/>
      <c r="O4" s="28"/>
    </row>
    <row r="5" spans="1:15" ht="15" customHeight="1" x14ac:dyDescent="0.35">
      <c r="A5" s="126" t="s">
        <v>128</v>
      </c>
      <c r="B5" s="125"/>
      <c r="C5" s="125"/>
      <c r="D5" s="125"/>
      <c r="E5" s="125"/>
      <c r="F5" s="125"/>
      <c r="G5" s="125"/>
      <c r="H5" s="125"/>
      <c r="I5" s="125"/>
      <c r="J5" s="125"/>
      <c r="K5" s="125"/>
      <c r="L5" s="125"/>
      <c r="M5" s="125"/>
      <c r="N5" s="28"/>
      <c r="O5" s="28"/>
    </row>
    <row r="6" spans="1:15" ht="15" customHeight="1" x14ac:dyDescent="0.35">
      <c r="A6" s="29" t="s">
        <v>129</v>
      </c>
      <c r="B6" s="30">
        <f>Assumptions!B5</f>
        <v>130497</v>
      </c>
      <c r="C6" s="30">
        <f t="shared" ref="C6:L6" si="0">B6*(1+C7)</f>
        <v>215933.38589999999</v>
      </c>
      <c r="D6" s="30">
        <f t="shared" si="0"/>
        <v>360695.12780735997</v>
      </c>
      <c r="E6" s="30">
        <f t="shared" si="0"/>
        <v>467713.37222780363</v>
      </c>
      <c r="F6" s="30">
        <f t="shared" si="0"/>
        <v>537870.37806197419</v>
      </c>
      <c r="G6" s="30">
        <f t="shared" si="0"/>
        <v>597036.11964879138</v>
      </c>
      <c r="H6" s="30">
        <f t="shared" si="0"/>
        <v>650769.37041718268</v>
      </c>
      <c r="I6" s="30">
        <f t="shared" si="0"/>
        <v>702830.92005055735</v>
      </c>
      <c r="J6" s="30">
        <f t="shared" si="0"/>
        <v>752029.08445409639</v>
      </c>
      <c r="K6" s="30">
        <f t="shared" si="0"/>
        <v>797150.82952134218</v>
      </c>
      <c r="L6" s="30">
        <f t="shared" si="0"/>
        <v>837008.37099740934</v>
      </c>
      <c r="M6" s="28"/>
      <c r="N6" s="28"/>
      <c r="O6" s="28"/>
    </row>
    <row r="7" spans="1:15" ht="15" customHeight="1" x14ac:dyDescent="0.35">
      <c r="A7" s="8" t="s">
        <v>130</v>
      </c>
      <c r="B7" s="28"/>
      <c r="C7" s="31">
        <f>Assumptions!B6</f>
        <v>0.65469999999999995</v>
      </c>
      <c r="D7" s="31">
        <f>Assumptions!B7</f>
        <v>0.6704</v>
      </c>
      <c r="E7" s="31">
        <f>Assumptions!B8</f>
        <v>0.29670000000000002</v>
      </c>
      <c r="F7" s="31">
        <f>Assumptions!B9</f>
        <v>0.15</v>
      </c>
      <c r="G7" s="31">
        <f>Assumptions!B10</f>
        <v>0.11</v>
      </c>
      <c r="H7" s="31">
        <f>Assumptions!B11</f>
        <v>0.09</v>
      </c>
      <c r="I7" s="31">
        <f>Assumptions!B12</f>
        <v>0.08</v>
      </c>
      <c r="J7" s="31">
        <f>Assumptions!B13</f>
        <v>7.0000000000000007E-2</v>
      </c>
      <c r="K7" s="31">
        <f>Assumptions!B14</f>
        <v>0.06</v>
      </c>
      <c r="L7" s="31">
        <f>Assumptions!B15</f>
        <v>0.05</v>
      </c>
      <c r="M7" s="32">
        <f>Assumptions!B16</f>
        <v>2.75E-2</v>
      </c>
      <c r="N7" s="28"/>
      <c r="O7" s="28"/>
    </row>
    <row r="8" spans="1:15" ht="15" customHeight="1" x14ac:dyDescent="0.35">
      <c r="A8" s="126" t="s">
        <v>131</v>
      </c>
      <c r="B8" s="125"/>
      <c r="C8" s="125"/>
      <c r="D8" s="125"/>
      <c r="E8" s="125"/>
      <c r="F8" s="125"/>
      <c r="G8" s="125"/>
      <c r="H8" s="125"/>
      <c r="I8" s="125"/>
      <c r="J8" s="125"/>
      <c r="K8" s="125"/>
      <c r="L8" s="125"/>
      <c r="M8" s="125"/>
      <c r="N8" s="28"/>
      <c r="O8" s="28"/>
    </row>
    <row r="9" spans="1:15" ht="15" customHeight="1" x14ac:dyDescent="0.35">
      <c r="A9" s="8" t="s">
        <v>132</v>
      </c>
      <c r="B9" s="28"/>
      <c r="C9" s="31">
        <f>Assumptions!B17</f>
        <v>0.621</v>
      </c>
      <c r="D9" s="31">
        <f>Assumptions!B18</f>
        <v>0.63</v>
      </c>
      <c r="E9" s="31">
        <f>Assumptions!B19</f>
        <v>0.64</v>
      </c>
      <c r="F9" s="31">
        <f>Assumptions!B20</f>
        <v>0.65</v>
      </c>
      <c r="G9" s="31">
        <f>Assumptions!B21</f>
        <v>0.65</v>
      </c>
      <c r="H9" s="31">
        <f>Assumptions!B22</f>
        <v>0.65</v>
      </c>
      <c r="I9" s="31">
        <f>Assumptions!B23</f>
        <v>0.64</v>
      </c>
      <c r="J9" s="31">
        <f>Assumptions!B24</f>
        <v>0.63</v>
      </c>
      <c r="K9" s="31">
        <f>Assumptions!B25</f>
        <v>0.62</v>
      </c>
      <c r="L9" s="31">
        <f>Assumptions!B26</f>
        <v>0.61</v>
      </c>
      <c r="M9" s="28"/>
      <c r="N9" s="28"/>
      <c r="O9" s="28"/>
    </row>
    <row r="10" spans="1:15" ht="15" customHeight="1" x14ac:dyDescent="0.35">
      <c r="A10" s="8" t="s">
        <v>133</v>
      </c>
      <c r="B10" s="28"/>
      <c r="C10" s="30">
        <f t="shared" ref="C10:L10" si="1">C6*C9</f>
        <v>134094.6326439</v>
      </c>
      <c r="D10" s="30">
        <f t="shared" si="1"/>
        <v>227237.93051863677</v>
      </c>
      <c r="E10" s="30">
        <f t="shared" si="1"/>
        <v>299336.55822579435</v>
      </c>
      <c r="F10" s="30">
        <f t="shared" si="1"/>
        <v>349615.74574028322</v>
      </c>
      <c r="G10" s="30">
        <f t="shared" si="1"/>
        <v>388073.47777171439</v>
      </c>
      <c r="H10" s="30">
        <f t="shared" si="1"/>
        <v>423000.09077116876</v>
      </c>
      <c r="I10" s="30">
        <f t="shared" si="1"/>
        <v>449811.78883235669</v>
      </c>
      <c r="J10" s="30">
        <f t="shared" si="1"/>
        <v>473778.32320608071</v>
      </c>
      <c r="K10" s="30">
        <f t="shared" si="1"/>
        <v>494233.51430323214</v>
      </c>
      <c r="L10" s="30">
        <f t="shared" si="1"/>
        <v>510575.10630841966</v>
      </c>
      <c r="M10" s="28"/>
      <c r="N10" s="28"/>
      <c r="O10" s="28"/>
    </row>
    <row r="11" spans="1:15" ht="15" customHeight="1" x14ac:dyDescent="0.35">
      <c r="A11" s="8" t="s">
        <v>134</v>
      </c>
      <c r="B11" s="28"/>
      <c r="C11" s="30">
        <f>-C10*Assumptions!B27</f>
        <v>-21321.046590380101</v>
      </c>
      <c r="D11" s="30">
        <f>-D10*Assumptions!B27</f>
        <v>-36130.83095246325</v>
      </c>
      <c r="E11" s="30">
        <f>-E10*Assumptions!B27</f>
        <v>-47594.512757901299</v>
      </c>
      <c r="F11" s="30">
        <f>-F10*Assumptions!B27</f>
        <v>-55588.903572705036</v>
      </c>
      <c r="G11" s="30">
        <f>-G10*Assumptions!B27</f>
        <v>-61703.682965702588</v>
      </c>
      <c r="H11" s="30">
        <f>-H10*Assumptions!B27</f>
        <v>-67257.014432615833</v>
      </c>
      <c r="I11" s="30">
        <f>-I10*Assumptions!B27</f>
        <v>-71520.074424344712</v>
      </c>
      <c r="J11" s="30">
        <f>-J10*Assumptions!B27</f>
        <v>-75330.753389766833</v>
      </c>
      <c r="K11" s="30">
        <f>-K10*Assumptions!B27</f>
        <v>-78583.12877421391</v>
      </c>
      <c r="L11" s="30">
        <f>-L10*Assumptions!B27</f>
        <v>-81181.441903038722</v>
      </c>
      <c r="M11" s="28"/>
      <c r="N11" s="28"/>
      <c r="O11" s="28"/>
    </row>
    <row r="12" spans="1:15" ht="15" customHeight="1" x14ac:dyDescent="0.35">
      <c r="A12" s="29" t="s">
        <v>135</v>
      </c>
      <c r="B12" s="28"/>
      <c r="C12" s="33">
        <f t="shared" ref="C12:L12" si="2">C10+C11</f>
        <v>112773.58605351989</v>
      </c>
      <c r="D12" s="33">
        <f t="shared" si="2"/>
        <v>191107.09956617351</v>
      </c>
      <c r="E12" s="33">
        <f t="shared" si="2"/>
        <v>251742.04546789304</v>
      </c>
      <c r="F12" s="33">
        <f t="shared" si="2"/>
        <v>294026.84216757817</v>
      </c>
      <c r="G12" s="33">
        <f t="shared" si="2"/>
        <v>326369.79480601178</v>
      </c>
      <c r="H12" s="33">
        <f t="shared" si="2"/>
        <v>355743.07633855293</v>
      </c>
      <c r="I12" s="33">
        <f t="shared" si="2"/>
        <v>378291.71440801199</v>
      </c>
      <c r="J12" s="33">
        <f t="shared" si="2"/>
        <v>398447.56981631386</v>
      </c>
      <c r="K12" s="33">
        <f t="shared" si="2"/>
        <v>415650.38552901824</v>
      </c>
      <c r="L12" s="33">
        <f t="shared" si="2"/>
        <v>429393.66440538096</v>
      </c>
      <c r="M12" s="28"/>
      <c r="N12" s="28"/>
      <c r="O12" s="28"/>
    </row>
    <row r="13" spans="1:15" ht="15" customHeight="1" x14ac:dyDescent="0.35">
      <c r="A13" s="8" t="s">
        <v>136</v>
      </c>
      <c r="B13" s="28"/>
      <c r="C13" s="30">
        <f>C6*Assumptions!B28</f>
        <v>3023.0674026000002</v>
      </c>
      <c r="D13" s="30">
        <f>D6*Assumptions!B28</f>
        <v>5049.7317893030395</v>
      </c>
      <c r="E13" s="30">
        <f>E6*Assumptions!B28</f>
        <v>6547.987211189251</v>
      </c>
      <c r="F13" s="30">
        <f>F6*Assumptions!B28</f>
        <v>7530.185292867639</v>
      </c>
      <c r="G13" s="30">
        <f>G6*Assumptions!B28</f>
        <v>8358.505675083079</v>
      </c>
      <c r="H13" s="30">
        <f>H6*Assumptions!B28</f>
        <v>9110.7711858405582</v>
      </c>
      <c r="I13" s="30">
        <f>I6*Assumptions!B28</f>
        <v>9839.6328807078025</v>
      </c>
      <c r="J13" s="30">
        <f>J6*Assumptions!B28</f>
        <v>10528.40718235735</v>
      </c>
      <c r="K13" s="30">
        <f>K6*Assumptions!B28</f>
        <v>11160.11161329879</v>
      </c>
      <c r="L13" s="30">
        <f>L6*Assumptions!B28</f>
        <v>11718.117193963732</v>
      </c>
      <c r="M13" s="28"/>
      <c r="N13" s="28"/>
      <c r="O13" s="28"/>
    </row>
    <row r="14" spans="1:15" ht="15" customHeight="1" x14ac:dyDescent="0.35">
      <c r="A14" s="8" t="s">
        <v>137</v>
      </c>
      <c r="B14" s="28"/>
      <c r="C14" s="30">
        <f>-C6*Assumptions!B29</f>
        <v>-5398.3346474999998</v>
      </c>
      <c r="D14" s="30">
        <f>-D6*Assumptions!B29</f>
        <v>-9017.3781951839992</v>
      </c>
      <c r="E14" s="30">
        <f>-E6*Assumptions!B29</f>
        <v>-11692.834305695091</v>
      </c>
      <c r="F14" s="30">
        <f>-F6*Assumptions!B29</f>
        <v>-13446.759451549355</v>
      </c>
      <c r="G14" s="30">
        <f>-G6*Assumptions!B29</f>
        <v>-14925.902991219786</v>
      </c>
      <c r="H14" s="30">
        <f>-H6*Assumptions!B29</f>
        <v>-16269.234260429568</v>
      </c>
      <c r="I14" s="30">
        <f>-I6*Assumptions!B29</f>
        <v>-17570.773001263933</v>
      </c>
      <c r="J14" s="30">
        <f>-J6*Assumptions!B29</f>
        <v>-18800.727111352411</v>
      </c>
      <c r="K14" s="30">
        <f>-K6*Assumptions!B29</f>
        <v>-19928.770738033556</v>
      </c>
      <c r="L14" s="30">
        <f>-L6*Assumptions!B29</f>
        <v>-20925.209274935234</v>
      </c>
      <c r="M14" s="28"/>
      <c r="N14" s="28"/>
      <c r="O14" s="28"/>
    </row>
    <row r="15" spans="1:15" ht="15" customHeight="1" x14ac:dyDescent="0.35">
      <c r="A15" s="8" t="s">
        <v>138</v>
      </c>
      <c r="B15" s="28"/>
      <c r="C15" s="30">
        <f>-C6*Assumptions!B30</f>
        <v>-2159.3338589999998</v>
      </c>
      <c r="D15" s="30">
        <f>-D6*Assumptions!B30</f>
        <v>-3606.9512780736</v>
      </c>
      <c r="E15" s="30">
        <f>-E6*Assumptions!B30</f>
        <v>-4677.1337222780367</v>
      </c>
      <c r="F15" s="30">
        <f>-F6*Assumptions!B30</f>
        <v>-5378.7037806197422</v>
      </c>
      <c r="G15" s="30">
        <f>-G6*Assumptions!B30</f>
        <v>-5970.3611964879137</v>
      </c>
      <c r="H15" s="30">
        <f>-H6*Assumptions!B30</f>
        <v>-6507.6937041718265</v>
      </c>
      <c r="I15" s="30">
        <f>-I6*Assumptions!B30</f>
        <v>-7028.3092005055732</v>
      </c>
      <c r="J15" s="30">
        <f>-J6*Assumptions!B30</f>
        <v>-7520.2908445409639</v>
      </c>
      <c r="K15" s="30">
        <f>-K6*Assumptions!B30</f>
        <v>-7971.5082952134217</v>
      </c>
      <c r="L15" s="30">
        <f>-L6*Assumptions!B30</f>
        <v>-8370.0837099740929</v>
      </c>
      <c r="M15" s="28"/>
      <c r="N15" s="28"/>
      <c r="O15" s="28"/>
    </row>
    <row r="16" spans="1:15" ht="15" customHeight="1" x14ac:dyDescent="0.35">
      <c r="A16" s="29" t="s">
        <v>139</v>
      </c>
      <c r="B16" s="28"/>
      <c r="C16" s="34">
        <f t="shared" ref="C16:L16" si="3">C12+C13+C14+C15</f>
        <v>108238.98494961989</v>
      </c>
      <c r="D16" s="34">
        <f t="shared" si="3"/>
        <v>183532.50188221896</v>
      </c>
      <c r="E16" s="34">
        <f t="shared" si="3"/>
        <v>241920.06465110919</v>
      </c>
      <c r="F16" s="34">
        <f t="shared" si="3"/>
        <v>282731.56422827678</v>
      </c>
      <c r="G16" s="34">
        <f t="shared" si="3"/>
        <v>313832.03629338718</v>
      </c>
      <c r="H16" s="34">
        <f t="shared" si="3"/>
        <v>342076.91955979209</v>
      </c>
      <c r="I16" s="34">
        <f t="shared" si="3"/>
        <v>363532.26508695033</v>
      </c>
      <c r="J16" s="34">
        <f t="shared" si="3"/>
        <v>382654.95904277777</v>
      </c>
      <c r="K16" s="34">
        <f t="shared" si="3"/>
        <v>398910.21810907003</v>
      </c>
      <c r="L16" s="34">
        <f t="shared" si="3"/>
        <v>411816.48861443537</v>
      </c>
      <c r="M16" s="34"/>
      <c r="N16" s="28"/>
      <c r="O16" s="28"/>
    </row>
    <row r="17" spans="1:15" ht="15" customHeight="1" x14ac:dyDescent="0.35">
      <c r="A17" s="126" t="s">
        <v>140</v>
      </c>
      <c r="B17" s="125"/>
      <c r="C17" s="125"/>
      <c r="D17" s="125"/>
      <c r="E17" s="125"/>
      <c r="F17" s="125"/>
      <c r="G17" s="125"/>
      <c r="H17" s="125"/>
      <c r="I17" s="125"/>
      <c r="J17" s="125"/>
      <c r="K17" s="125"/>
      <c r="L17" s="125"/>
      <c r="M17" s="125"/>
      <c r="N17" s="28"/>
      <c r="O17" s="28"/>
    </row>
    <row r="18" spans="1:15" ht="15" customHeight="1" x14ac:dyDescent="0.35">
      <c r="A18" s="8" t="s">
        <v>141</v>
      </c>
      <c r="B18" s="28"/>
      <c r="C18" s="35">
        <f>1/(1+Assumptions!B40)^1</f>
        <v>0.90542521280548305</v>
      </c>
      <c r="D18" s="35">
        <f>1/(1+Assumptions!B40)^2</f>
        <v>0.81979481598385429</v>
      </c>
      <c r="E18" s="35">
        <f>1/(1+Assumptions!B40)^3</f>
        <v>0.74226289571901305</v>
      </c>
      <c r="F18" s="35">
        <f>1/(1+Assumptions!B40)^4</f>
        <v>0.67206354031400162</v>
      </c>
      <c r="G18" s="35">
        <f>1/(1+Assumptions!B40)^5</f>
        <v>0.60850327400761128</v>
      </c>
      <c r="H18" s="35">
        <f>1/(1+Assumptions!B40)^6</f>
        <v>0.55095420636117465</v>
      </c>
      <c r="I18" s="35">
        <f>1/(1+Assumptions!B40)^7</f>
        <v>0.49884782954064255</v>
      </c>
      <c r="J18" s="35">
        <f>1/(1+Assumptions!B40)^8</f>
        <v>0.45166940221938967</v>
      </c>
      <c r="K18" s="35">
        <f>1/(1+Assumptions!B40)^9</f>
        <v>0.40895286462221619</v>
      </c>
      <c r="L18" s="35">
        <f>1/(1+Assumptions!B40)^10</f>
        <v>0.37027623447798208</v>
      </c>
      <c r="M18" s="36">
        <f>Assumptions!B40</f>
        <v>0.10445345</v>
      </c>
      <c r="N18" s="28"/>
      <c r="O18" s="28"/>
    </row>
    <row r="19" spans="1:15" ht="15" customHeight="1" x14ac:dyDescent="0.35">
      <c r="A19" s="8" t="s">
        <v>142</v>
      </c>
      <c r="B19" s="28"/>
      <c r="C19" s="33">
        <f t="shared" ref="C19:L19" si="4">C16*C18</f>
        <v>98002.30598185907</v>
      </c>
      <c r="D19" s="33">
        <f t="shared" si="4"/>
        <v>150458.99360759009</v>
      </c>
      <c r="E19" s="33">
        <f t="shared" si="4"/>
        <v>179568.28772046315</v>
      </c>
      <c r="F19" s="33">
        <f t="shared" si="4"/>
        <v>190013.57601377124</v>
      </c>
      <c r="G19" s="33">
        <f t="shared" si="4"/>
        <v>190967.82157300159</v>
      </c>
      <c r="H19" s="33">
        <f t="shared" si="4"/>
        <v>188468.71773054064</v>
      </c>
      <c r="I19" s="33">
        <f t="shared" si="4"/>
        <v>181347.28140661868</v>
      </c>
      <c r="J19" s="33">
        <f t="shared" si="4"/>
        <v>172833.53660713648</v>
      </c>
      <c r="K19" s="33">
        <f t="shared" si="4"/>
        <v>163135.47642277725</v>
      </c>
      <c r="L19" s="33">
        <f t="shared" si="4"/>
        <v>152485.85870009792</v>
      </c>
      <c r="M19" s="28"/>
      <c r="N19" s="28"/>
      <c r="O19" s="28"/>
    </row>
    <row r="20" spans="1:15" ht="15" customHeight="1" x14ac:dyDescent="0.35">
      <c r="A20" s="126" t="s">
        <v>143</v>
      </c>
      <c r="B20" s="125"/>
      <c r="C20" s="125"/>
      <c r="D20" s="125"/>
      <c r="E20" s="125"/>
      <c r="F20" s="125"/>
      <c r="G20" s="125"/>
      <c r="H20" s="125"/>
      <c r="I20" s="125"/>
      <c r="J20" s="125"/>
      <c r="K20" s="125"/>
      <c r="L20" s="125"/>
      <c r="M20" s="125"/>
      <c r="N20" s="28"/>
      <c r="O20" s="28"/>
    </row>
    <row r="21" spans="1:15" ht="15" customHeight="1" x14ac:dyDescent="0.35">
      <c r="A21" s="29" t="s">
        <v>144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</row>
    <row r="22" spans="1:15" ht="15" customHeight="1" x14ac:dyDescent="0.35">
      <c r="A22" s="8" t="s">
        <v>145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37">
        <f>L16*(1+M7)/(M18-M7)</f>
        <v>5498667.5977663426</v>
      </c>
      <c r="O22" s="28"/>
    </row>
    <row r="23" spans="1:15" ht="15" customHeight="1" x14ac:dyDescent="0.35">
      <c r="A23" s="8" t="s">
        <v>146</v>
      </c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30">
        <f>M22/(1+M18)^10</f>
        <v>2036025.9327470127</v>
      </c>
      <c r="N23" s="28"/>
      <c r="O23" s="28"/>
    </row>
    <row r="24" spans="1:15" ht="15" customHeight="1" x14ac:dyDescent="0.35">
      <c r="A24" s="8" t="s">
        <v>147</v>
      </c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38">
        <f>M23/L33</f>
        <v>0.54978577234751413</v>
      </c>
      <c r="N24" s="28"/>
      <c r="O24" s="28"/>
    </row>
    <row r="25" spans="1:15" ht="15" customHeight="1" x14ac:dyDescent="0.35">
      <c r="A25" s="29" t="s">
        <v>148</v>
      </c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</row>
    <row r="26" spans="1:15" ht="15" customHeight="1" x14ac:dyDescent="0.35">
      <c r="A26" s="8" t="s">
        <v>149</v>
      </c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39">
        <f>L10*Assumptions!B44</f>
        <v>10722077.232476814</v>
      </c>
      <c r="N26" s="28"/>
      <c r="O26" s="28"/>
    </row>
    <row r="27" spans="1:15" ht="15" customHeight="1" x14ac:dyDescent="0.35">
      <c r="A27" s="8" t="s">
        <v>150</v>
      </c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39">
        <f>M26/(1+Assumptions!B40)^10</f>
        <v>3970130.3834236176</v>
      </c>
      <c r="N27" s="28"/>
      <c r="O27" s="28"/>
    </row>
    <row r="28" spans="1:15" ht="15" customHeight="1" x14ac:dyDescent="0.35">
      <c r="A28" s="8" t="s">
        <v>151</v>
      </c>
      <c r="B28" s="28"/>
      <c r="C28" s="28"/>
      <c r="D28" s="28"/>
      <c r="E28" s="28"/>
      <c r="F28" s="28"/>
      <c r="G28" s="28"/>
      <c r="H28" s="28"/>
      <c r="I28" s="28"/>
      <c r="J28" s="28"/>
      <c r="K28" s="28"/>
      <c r="L28" s="28"/>
      <c r="M28" s="31">
        <f>M27/M33</f>
        <v>0.70424695143384386</v>
      </c>
      <c r="N28" s="28"/>
      <c r="O28" s="28"/>
    </row>
    <row r="29" spans="1:15" ht="15" customHeight="1" x14ac:dyDescent="0.35">
      <c r="A29" s="126" t="s">
        <v>152</v>
      </c>
      <c r="B29" s="125"/>
      <c r="C29" s="125"/>
      <c r="D29" s="125"/>
      <c r="E29" s="125"/>
      <c r="F29" s="125"/>
      <c r="G29" s="125"/>
      <c r="H29" s="125"/>
      <c r="I29" s="125"/>
      <c r="J29" s="125"/>
      <c r="K29" s="125"/>
      <c r="L29" s="125"/>
      <c r="M29" s="125"/>
      <c r="N29" s="28"/>
      <c r="O29" s="28"/>
    </row>
    <row r="30" spans="1:15" ht="15" customHeight="1" x14ac:dyDescent="0.35">
      <c r="A30" s="29" t="s">
        <v>153</v>
      </c>
      <c r="B30" s="28"/>
      <c r="C30" s="28"/>
      <c r="D30" s="28"/>
      <c r="E30" s="28"/>
      <c r="F30" s="28"/>
      <c r="G30" s="28"/>
      <c r="H30" s="28"/>
      <c r="I30" s="28"/>
      <c r="J30" s="28"/>
      <c r="K30" s="28"/>
      <c r="L30" s="40" t="s">
        <v>154</v>
      </c>
      <c r="M30" s="41" t="s">
        <v>155</v>
      </c>
      <c r="N30" s="28"/>
      <c r="O30" s="28"/>
    </row>
    <row r="31" spans="1:15" ht="15" customHeight="1" x14ac:dyDescent="0.35">
      <c r="A31" s="8" t="s">
        <v>156</v>
      </c>
      <c r="B31" s="28"/>
      <c r="C31" s="28"/>
      <c r="D31" s="28"/>
      <c r="E31" s="28"/>
      <c r="F31" s="28"/>
      <c r="G31" s="28"/>
      <c r="H31" s="28"/>
      <c r="I31" s="28"/>
      <c r="J31" s="28"/>
      <c r="K31" s="28"/>
      <c r="L31" s="30">
        <f>SUM(C19:L19)</f>
        <v>1667281.8557638561</v>
      </c>
      <c r="M31" s="30">
        <f>SUM(C19:L19)</f>
        <v>1667281.8557638561</v>
      </c>
      <c r="N31" s="28"/>
      <c r="O31" s="28"/>
    </row>
    <row r="32" spans="1:15" ht="15" customHeight="1" x14ac:dyDescent="0.35">
      <c r="A32" s="8" t="s">
        <v>157</v>
      </c>
      <c r="B32" s="28"/>
      <c r="C32" s="28"/>
      <c r="D32" s="28"/>
      <c r="E32" s="28"/>
      <c r="F32" s="28"/>
      <c r="G32" s="28"/>
      <c r="H32" s="28"/>
      <c r="I32" s="28"/>
      <c r="J32" s="28"/>
      <c r="K32" s="28"/>
      <c r="L32" s="42">
        <f>M23</f>
        <v>2036025.9327470127</v>
      </c>
      <c r="M32" s="42">
        <f>M27</f>
        <v>3970130.3834236176</v>
      </c>
      <c r="N32" s="28"/>
      <c r="O32" s="28"/>
    </row>
    <row r="33" spans="1:15" ht="15" customHeight="1" x14ac:dyDescent="0.35">
      <c r="A33" s="29" t="s">
        <v>158</v>
      </c>
      <c r="B33" s="28"/>
      <c r="C33" s="28"/>
      <c r="D33" s="28"/>
      <c r="E33" s="28"/>
      <c r="F33" s="28"/>
      <c r="G33" s="28"/>
      <c r="H33" s="28"/>
      <c r="I33" s="28"/>
      <c r="J33" s="28"/>
      <c r="K33" s="28"/>
      <c r="L33" s="43">
        <f>L31+L32</f>
        <v>3703307.7885108688</v>
      </c>
      <c r="M33" s="43">
        <f>M31+M32</f>
        <v>5637412.2391874734</v>
      </c>
      <c r="N33" s="28"/>
      <c r="O33" s="28"/>
    </row>
    <row r="34" spans="1:15" ht="15" customHeight="1" x14ac:dyDescent="0.35">
      <c r="A34" s="8" t="s">
        <v>159</v>
      </c>
      <c r="B34" s="28"/>
      <c r="C34" s="28"/>
      <c r="D34" s="28"/>
      <c r="E34" s="28"/>
      <c r="F34" s="28"/>
      <c r="G34" s="28"/>
      <c r="H34" s="28"/>
      <c r="I34" s="28"/>
      <c r="J34" s="28"/>
      <c r="K34" s="28"/>
      <c r="L34" s="30">
        <f>-Assumptions!B48</f>
        <v>-8462</v>
      </c>
      <c r="M34" s="30">
        <f>-Assumptions!B48</f>
        <v>-8462</v>
      </c>
      <c r="N34" s="28"/>
      <c r="O34" s="28"/>
    </row>
    <row r="35" spans="1:15" ht="15" customHeight="1" x14ac:dyDescent="0.35">
      <c r="A35" s="8" t="s">
        <v>160</v>
      </c>
      <c r="B35" s="28"/>
      <c r="C35" s="28"/>
      <c r="D35" s="28"/>
      <c r="E35" s="28"/>
      <c r="F35" s="28"/>
      <c r="G35" s="28"/>
      <c r="H35" s="28"/>
      <c r="I35" s="28"/>
      <c r="J35" s="28"/>
      <c r="K35" s="28"/>
      <c r="L35" s="30">
        <f>Assumptions!B49</f>
        <v>15230</v>
      </c>
      <c r="M35" s="30">
        <f>Assumptions!B49</f>
        <v>15230</v>
      </c>
      <c r="N35" s="28"/>
      <c r="O35" s="28"/>
    </row>
    <row r="36" spans="1:15" ht="15" customHeight="1" x14ac:dyDescent="0.35">
      <c r="A36" s="29" t="s">
        <v>161</v>
      </c>
      <c r="B36" s="28"/>
      <c r="C36" s="28"/>
      <c r="D36" s="28"/>
      <c r="E36" s="28"/>
      <c r="F36" s="28"/>
      <c r="G36" s="28"/>
      <c r="H36" s="28"/>
      <c r="I36" s="28"/>
      <c r="J36" s="28"/>
      <c r="K36" s="28"/>
      <c r="L36" s="43">
        <f>L33+L34+L35</f>
        <v>3710075.7885108688</v>
      </c>
      <c r="M36" s="43">
        <f>M33+M34+M35</f>
        <v>5644180.2391874734</v>
      </c>
      <c r="N36" s="28"/>
      <c r="O36" s="28"/>
    </row>
    <row r="37" spans="1:15" ht="15" customHeight="1" x14ac:dyDescent="0.35">
      <c r="A37" s="8" t="s">
        <v>162</v>
      </c>
      <c r="B37" s="28"/>
      <c r="C37" s="28"/>
      <c r="D37" s="28"/>
      <c r="E37" s="28"/>
      <c r="F37" s="28"/>
      <c r="G37" s="28"/>
      <c r="H37" s="28"/>
      <c r="I37" s="28"/>
      <c r="J37" s="28"/>
      <c r="K37" s="28"/>
      <c r="L37" s="44">
        <f>Assumptions!B50</f>
        <v>24483</v>
      </c>
      <c r="M37" s="44">
        <f>Assumptions!B50</f>
        <v>24483</v>
      </c>
      <c r="N37" s="28"/>
      <c r="O37" s="28"/>
    </row>
    <row r="38" spans="1:15" ht="15" customHeight="1" x14ac:dyDescent="0.35">
      <c r="A38" s="29" t="s">
        <v>163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45">
        <f>L36/L37</f>
        <v>151.53681282975407</v>
      </c>
      <c r="M38" s="45">
        <f>M36/M37</f>
        <v>230.53466647010063</v>
      </c>
      <c r="N38" s="28"/>
      <c r="O38" s="28"/>
    </row>
    <row r="39" spans="1:15" ht="15" customHeight="1" x14ac:dyDescent="0.35">
      <c r="A39" s="8" t="s">
        <v>110</v>
      </c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46">
        <f>Assumptions!B51</f>
        <v>181.69</v>
      </c>
      <c r="M39" s="46">
        <f>Assumptions!B51</f>
        <v>181.69</v>
      </c>
      <c r="N39" s="28"/>
      <c r="O39" s="28"/>
    </row>
    <row r="40" spans="1:15" ht="15" customHeight="1" x14ac:dyDescent="0.35">
      <c r="A40" s="29" t="s">
        <v>19</v>
      </c>
      <c r="B40" s="28"/>
      <c r="C40" s="28"/>
      <c r="D40" s="28"/>
      <c r="E40" s="28"/>
      <c r="F40" s="28"/>
      <c r="G40" s="28"/>
      <c r="H40" s="28"/>
      <c r="I40" s="28"/>
      <c r="J40" s="28"/>
      <c r="K40" s="28"/>
      <c r="L40" s="47">
        <f>L38/L39-1</f>
        <v>-0.16595953090564108</v>
      </c>
      <c r="M40" s="47">
        <f>M38/M39-1</f>
        <v>0.26883519439760373</v>
      </c>
      <c r="N40" s="28"/>
      <c r="O40" s="28"/>
    </row>
    <row r="41" spans="1:15" ht="15" customHeight="1" x14ac:dyDescent="0.35">
      <c r="A41" s="28"/>
      <c r="B41" s="28"/>
      <c r="C41" s="28"/>
      <c r="D41" s="28"/>
      <c r="E41" s="28"/>
      <c r="F41" s="28"/>
      <c r="G41" s="28"/>
      <c r="H41" s="28"/>
      <c r="I41" s="28"/>
      <c r="J41" s="28"/>
      <c r="K41" s="28"/>
      <c r="L41" s="28"/>
      <c r="M41" s="28"/>
      <c r="N41" s="28"/>
      <c r="O41" s="28"/>
    </row>
    <row r="42" spans="1:15" ht="15" customHeight="1" x14ac:dyDescent="0.35">
      <c r="A42" s="126" t="s">
        <v>164</v>
      </c>
      <c r="B42" s="125"/>
      <c r="C42" s="125"/>
      <c r="D42" s="125"/>
      <c r="E42" s="125"/>
      <c r="F42" s="125"/>
      <c r="G42" s="125"/>
      <c r="H42" s="125"/>
      <c r="I42" s="125"/>
      <c r="J42" s="125"/>
      <c r="K42" s="125"/>
      <c r="L42" s="125"/>
      <c r="M42" s="125"/>
      <c r="N42" s="28"/>
      <c r="O42" s="28"/>
    </row>
    <row r="43" spans="1:15" ht="96" customHeight="1" x14ac:dyDescent="0.35">
      <c r="A43" s="124" t="s">
        <v>165</v>
      </c>
      <c r="B43" s="125"/>
      <c r="C43" s="125"/>
      <c r="D43" s="125"/>
      <c r="E43" s="125"/>
      <c r="F43" s="125"/>
      <c r="G43" s="125"/>
      <c r="H43" s="125"/>
      <c r="I43" s="125"/>
      <c r="J43" s="28"/>
      <c r="K43" s="28"/>
      <c r="L43" s="28"/>
      <c r="M43" s="28"/>
      <c r="N43" s="28"/>
      <c r="O43" s="28"/>
    </row>
    <row r="44" spans="1:15" ht="15" customHeight="1" x14ac:dyDescent="0.35">
      <c r="A44" s="28"/>
      <c r="B44" s="28"/>
      <c r="C44" s="28"/>
      <c r="D44" s="28"/>
      <c r="E44" s="28"/>
      <c r="F44" s="28"/>
      <c r="G44" s="28"/>
      <c r="H44" s="28"/>
      <c r="I44" s="28"/>
      <c r="J44" s="28"/>
      <c r="K44" s="28"/>
      <c r="L44" s="28"/>
      <c r="M44" s="28"/>
      <c r="N44" s="28"/>
      <c r="O44" s="28"/>
    </row>
    <row r="45" spans="1:15" ht="141" customHeight="1" x14ac:dyDescent="0.35">
      <c r="A45" s="124" t="s">
        <v>166</v>
      </c>
      <c r="B45" s="125"/>
      <c r="C45" s="125"/>
      <c r="D45" s="125"/>
      <c r="E45" s="125"/>
      <c r="F45" s="125"/>
      <c r="G45" s="125"/>
      <c r="H45" s="125"/>
      <c r="I45" s="125"/>
      <c r="J45" s="28"/>
      <c r="K45" s="28"/>
      <c r="L45" s="28"/>
      <c r="M45" s="28"/>
      <c r="N45" s="28"/>
      <c r="O45" s="28"/>
    </row>
    <row r="46" spans="1:15" ht="15" customHeight="1" x14ac:dyDescent="0.35">
      <c r="A46" s="28"/>
      <c r="B46" s="28"/>
      <c r="C46" s="28"/>
      <c r="D46" s="28"/>
      <c r="E46" s="28"/>
      <c r="F46" s="28"/>
      <c r="G46" s="28"/>
      <c r="H46" s="28"/>
      <c r="I46" s="28"/>
      <c r="J46" s="28"/>
      <c r="K46" s="28"/>
      <c r="L46" s="28"/>
      <c r="M46" s="28"/>
      <c r="N46" s="28"/>
      <c r="O46" s="28"/>
    </row>
    <row r="47" spans="1:15" ht="15" customHeight="1" x14ac:dyDescent="0.35">
      <c r="A47" s="28"/>
      <c r="B47" s="28"/>
      <c r="C47" s="28"/>
      <c r="D47" s="28"/>
      <c r="E47" s="28"/>
      <c r="F47" s="28"/>
      <c r="G47" s="28"/>
      <c r="H47" s="28"/>
      <c r="I47" s="28"/>
      <c r="J47" s="28"/>
      <c r="K47" s="28"/>
      <c r="L47" s="28"/>
      <c r="M47" s="28"/>
      <c r="N47" s="28"/>
      <c r="O47" s="28"/>
    </row>
    <row r="48" spans="1:15" ht="15" customHeight="1" x14ac:dyDescent="0.35">
      <c r="A48" s="28"/>
      <c r="B48" s="28"/>
      <c r="C48" s="28"/>
      <c r="D48" s="28"/>
      <c r="E48" s="28"/>
      <c r="F48" s="28"/>
      <c r="G48" s="28"/>
      <c r="H48" s="28"/>
      <c r="I48" s="28"/>
      <c r="J48" s="28"/>
      <c r="K48" s="28"/>
      <c r="L48" s="28"/>
      <c r="M48" s="28"/>
      <c r="N48" s="28"/>
      <c r="O48" s="28"/>
    </row>
    <row r="49" spans="1:15" ht="15" customHeight="1" x14ac:dyDescent="0.35">
      <c r="A49" s="28"/>
      <c r="B49" s="28"/>
      <c r="C49" s="28"/>
      <c r="D49" s="28"/>
      <c r="E49" s="28"/>
      <c r="F49" s="28"/>
      <c r="G49" s="28"/>
      <c r="H49" s="28"/>
      <c r="I49" s="28"/>
      <c r="J49" s="28"/>
      <c r="K49" s="28"/>
      <c r="L49" s="28"/>
      <c r="M49" s="28"/>
      <c r="N49" s="28"/>
      <c r="O49" s="28"/>
    </row>
    <row r="50" spans="1:15" ht="15" customHeight="1" x14ac:dyDescent="0.35">
      <c r="A50" s="28"/>
      <c r="B50" s="28"/>
      <c r="C50" s="28"/>
      <c r="D50" s="28"/>
      <c r="E50" s="28"/>
      <c r="F50" s="28"/>
      <c r="G50" s="28"/>
      <c r="H50" s="28"/>
      <c r="I50" s="28"/>
      <c r="J50" s="28"/>
      <c r="K50" s="28"/>
      <c r="L50" s="28"/>
      <c r="M50" s="28"/>
      <c r="N50" s="28"/>
      <c r="O50" s="28"/>
    </row>
  </sheetData>
  <mergeCells count="10">
    <mergeCell ref="A1:M1"/>
    <mergeCell ref="A5:M5"/>
    <mergeCell ref="A8:M8"/>
    <mergeCell ref="A17:M17"/>
    <mergeCell ref="A45:I45"/>
    <mergeCell ref="A29:M29"/>
    <mergeCell ref="A20:M20"/>
    <mergeCell ref="A2:M2"/>
    <mergeCell ref="A42:M42"/>
    <mergeCell ref="A43:I4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0"/>
  <sheetViews>
    <sheetView showGridLines="0" zoomScaleNormal="100" workbookViewId="0">
      <selection activeCell="B6" sqref="B6"/>
    </sheetView>
  </sheetViews>
  <sheetFormatPr defaultColWidth="8.7265625" defaultRowHeight="14.5" x14ac:dyDescent="0.35"/>
  <cols>
    <col min="1" max="1" width="12" customWidth="1"/>
    <col min="2" max="8" width="14" customWidth="1"/>
  </cols>
  <sheetData>
    <row r="1" spans="1:9" ht="17.25" customHeight="1" x14ac:dyDescent="0.35">
      <c r="A1" s="131" t="s">
        <v>167</v>
      </c>
      <c r="B1" s="125"/>
      <c r="C1" s="125"/>
      <c r="D1" s="125"/>
      <c r="E1" s="125"/>
      <c r="F1" s="125"/>
      <c r="G1" s="125"/>
      <c r="H1" s="125"/>
      <c r="I1" s="28"/>
    </row>
    <row r="2" spans="1:9" ht="15" customHeight="1" x14ac:dyDescent="0.35">
      <c r="A2" s="28"/>
      <c r="B2" s="28"/>
      <c r="C2" s="28"/>
      <c r="D2" s="28"/>
      <c r="E2" s="28"/>
      <c r="F2" s="28"/>
      <c r="G2" s="28"/>
      <c r="H2" s="28"/>
      <c r="I2" s="28"/>
    </row>
    <row r="3" spans="1:9" ht="15" customHeight="1" x14ac:dyDescent="0.35">
      <c r="A3" s="130" t="s">
        <v>168</v>
      </c>
      <c r="B3" s="125"/>
      <c r="C3" s="125"/>
      <c r="D3" s="125"/>
      <c r="E3" s="125"/>
      <c r="F3" s="125"/>
      <c r="G3" s="125"/>
      <c r="H3" s="125"/>
      <c r="I3" s="28"/>
    </row>
    <row r="4" spans="1:9" ht="15" customHeight="1" x14ac:dyDescent="0.35">
      <c r="A4" s="48" t="s">
        <v>169</v>
      </c>
      <c r="B4" s="49">
        <v>7.0000000000000007E-2</v>
      </c>
      <c r="C4" s="49">
        <v>0.08</v>
      </c>
      <c r="D4" s="49">
        <v>0.09</v>
      </c>
      <c r="E4" s="49">
        <v>0.1</v>
      </c>
      <c r="F4" s="49">
        <v>0.11</v>
      </c>
      <c r="G4" s="49">
        <v>0.12</v>
      </c>
      <c r="H4" s="48" t="s">
        <v>170</v>
      </c>
      <c r="I4" s="28"/>
    </row>
    <row r="5" spans="1:9" ht="15" customHeight="1" x14ac:dyDescent="0.35">
      <c r="A5" s="50">
        <v>1.4999999999999999E-2</v>
      </c>
      <c r="B5" s="51">
        <f>('DCF Model'!L31*((0.07/Assumptions!B40))+('DCF Model'!L16*(1+0.015)/(0.07-0.015))/(1+0.07)^10-Assumptions!B48+Assumptions!B49)/Assumptions!B50</f>
        <v>203.71286063396423</v>
      </c>
      <c r="C5" s="52">
        <f>('DCF Model'!L31*((0.08/Assumptions!B40))+('DCF Model'!L16*(1+0.015)/(0.08-0.015))/(1+0.08)^10-Assumptions!B48+Assumptions!B49)/Assumptions!B50</f>
        <v>174.09511264348083</v>
      </c>
      <c r="D5" s="51">
        <f>('DCF Model'!L31*((0.09/Assumptions!B40))+('DCF Model'!L16*(1+0.015)/(0.09-0.015))/(1+0.09)^10-Assumptions!B48+Assumptions!B49)/Assumptions!B50</f>
        <v>155.1094803076187</v>
      </c>
      <c r="E5" s="52">
        <f>('DCF Model'!L31*((0.1/Assumptions!B40))+('DCF Model'!L16*(1+0.015)/(0.1-0.015))/(1+0.1)^10-Assumptions!B48+Assumptions!B49)/Assumptions!B50</f>
        <v>142.91146808048953</v>
      </c>
      <c r="F5" s="51">
        <f>('DCF Model'!L31*((0.11/Assumptions!B40))+('DCF Model'!L16*(1+0.015)/(0.11-0.015))/(1+0.11)^10-Assumptions!B48+Assumptions!B49)/Assumptions!B50</f>
        <v>135.28457104602751</v>
      </c>
      <c r="G5" s="52">
        <f>('DCF Model'!L31*((0.12/Assumptions!B40))+('DCF Model'!L16*(1+0.015)/(0.12-0.015))/(1+0.12)^10-Assumptions!B48+Assumptions!B49)/Assumptions!B50</f>
        <v>130.86403583339714</v>
      </c>
      <c r="H5" s="28"/>
      <c r="I5" s="28"/>
    </row>
    <row r="6" spans="1:9" ht="15" customHeight="1" x14ac:dyDescent="0.35">
      <c r="A6" s="50">
        <v>0.02</v>
      </c>
      <c r="B6" s="52">
        <f>('DCF Model'!L31*((0.07/Assumptions!B40))+('DCF Model'!L16*(1+0.02)/(0.07-0.02))/(1+0.07)^10-Assumptions!B48+Assumptions!B49)/Assumptions!B50</f>
        <v>220.34784549618121</v>
      </c>
      <c r="C6" s="51">
        <f>('DCF Model'!L31*((0.08/Assumptions!B40))+('DCF Model'!L16*(1+0.02)/(0.08-0.02))/(1+0.08)^10-Assumptions!B48+Assumptions!B49)/Assumptions!B50</f>
        <v>184.8828582522641</v>
      </c>
      <c r="D6" s="52">
        <f>('DCF Model'!L31*((0.09/Assumptions!B40))+('DCF Model'!L16*(1+0.02)/(0.09-0.02))/(1+0.09)^10-Assumptions!B48+Assumptions!B49)/Assumptions!B50</f>
        <v>162.48531743545843</v>
      </c>
      <c r="E6" s="51">
        <f>('DCF Model'!L31*((0.1/Assumptions!B40))+('DCF Model'!L16*(1+0.02)/(0.1-0.02))/(1+0.1)^10-Assumptions!B48+Assumptions!B49)/Assumptions!B50</f>
        <v>148.1567160445</v>
      </c>
      <c r="F6" s="52">
        <f>('DCF Model'!L31*((0.11/Assumptions!B40))+('DCF Model'!L16*(1+0.02)/(0.11-0.02))/(1+0.11)^10-Assumptions!B48+Assumptions!B49)/Assumptions!B50</f>
        <v>139.1299237394152</v>
      </c>
      <c r="G6" s="51">
        <f>('DCF Model'!L31*((0.12/Assumptions!B40))+('DCF Model'!L16*(1+0.02)/(0.12-0.02))/(1+0.12)^10-Assumptions!B48+Assumptions!B49)/Assumptions!B50</f>
        <v>133.75243758635455</v>
      </c>
      <c r="H6" s="28"/>
      <c r="I6" s="28"/>
    </row>
    <row r="7" spans="1:9" ht="15" customHeight="1" x14ac:dyDescent="0.35">
      <c r="A7" s="50">
        <v>2.75E-2</v>
      </c>
      <c r="B7" s="51">
        <f>('DCF Model'!L31*((0.07/Assumptions!B40))+('DCF Model'!L16*(1+0.0275)/(0.07-0.0275))/(1+0.07)^10-Assumptions!B48+Assumptions!B49)/Assumptions!B50</f>
        <v>252.63928669930831</v>
      </c>
      <c r="C7" s="52">
        <f>('DCF Model'!L31*((0.08/Assumptions!B40))+('DCF Model'!L16*(1+0.0275)/(0.08-0.0275))/(1+0.08)^10-Assumptions!B48+Assumptions!B49)/Assumptions!B50</f>
        <v>204.91724295429012</v>
      </c>
      <c r="D7" s="51">
        <f>('DCF Model'!L31*((0.09/Assumptions!B40))+('DCF Model'!L16*(1+0.0275)/(0.09-0.0275))/(1+0.09)^10-Assumptions!B48+Assumptions!B49)/Assumptions!B50</f>
        <v>175.76182426556991</v>
      </c>
      <c r="E7" s="53">
        <f>('DCF Model'!L31*((0.1/Assumptions!B40))+('DCF Model'!L16*(1+0.0275)/(0.1-0.0275))/(1+0.1)^10-Assumptions!B48+Assumptions!B49)/Assumptions!B50</f>
        <v>157.38111763638051</v>
      </c>
      <c r="F7" s="51">
        <f>('DCF Model'!L31*((0.11/Assumptions!B40))+('DCF Model'!L16*(1+0.0275)/(0.11-0.0275))/(1+0.11)^10-Assumptions!B48+Assumptions!B49)/Assumptions!B50</f>
        <v>145.77189657344849</v>
      </c>
      <c r="G7" s="52">
        <f>('DCF Model'!L31*((0.12/Assumptions!B40))+('DCF Model'!L16*(1+0.0275)/(0.12-0.0275))/(1+0.12)^10-Assumptions!B48+Assumptions!B49)/Assumptions!B50</f>
        <v>138.67052705760634</v>
      </c>
      <c r="H7" s="28"/>
      <c r="I7" s="28"/>
    </row>
    <row r="8" spans="1:9" ht="15" customHeight="1" x14ac:dyDescent="0.35">
      <c r="A8" s="50">
        <v>0.03</v>
      </c>
      <c r="B8" s="52">
        <f>('DCF Model'!L31*((0.07/Assumptions!B40))+('DCF Model'!L16*(1+0.03)/(0.07-0.03))/(1+0.07)^10-Assumptions!B48+Assumptions!B49)/Assumptions!B50</f>
        <v>266.09405386727792</v>
      </c>
      <c r="C8" s="51">
        <f>('DCF Model'!L31*((0.08/Assumptions!B40))+('DCF Model'!L16*(1+0.03)/(0.08-0.03))/(1+0.08)^10-Assumptions!B48+Assumptions!B49)/Assumptions!B50</f>
        <v>212.93099683510056</v>
      </c>
      <c r="D8" s="52">
        <f>('DCF Model'!L31*((0.09/Assumptions!B40))+('DCF Model'!L16*(1+0.03)/(0.09-0.03))/(1+0.09)^10-Assumptions!B48+Assumptions!B49)/Assumptions!B50</f>
        <v>180.92491025505765</v>
      </c>
      <c r="E8" s="51">
        <f>('DCF Model'!L31*((0.1/Assumptions!B40))+('DCF Model'!L16*(1+0.03)/(0.1-0.03))/(1+0.1)^10-Assumptions!B48+Assumptions!B49)/Assumptions!B50</f>
        <v>160.89517538566835</v>
      </c>
      <c r="F8" s="52">
        <f>('DCF Model'!L31*((0.11/Assumptions!B40))+('DCF Model'!L16*(1+0.03)/(0.11-0.03))/(1+0.11)^10-Assumptions!B48+Assumptions!B49)/Assumptions!B50</f>
        <v>148.26263638621097</v>
      </c>
      <c r="G8" s="51">
        <f>('DCF Model'!L31*((0.12/Assumptions!B40))+('DCF Model'!L16*(1+0.03)/(0.12-0.03))/(1+0.12)^10-Assumptions!B48+Assumptions!B49)/Assumptions!B50</f>
        <v>140.49204167658851</v>
      </c>
      <c r="H8" s="28"/>
      <c r="I8" s="28"/>
    </row>
    <row r="9" spans="1:9" ht="15" customHeight="1" x14ac:dyDescent="0.35">
      <c r="A9" s="50">
        <v>3.5000000000000003E-2</v>
      </c>
      <c r="B9" s="51">
        <f>('DCF Model'!L31*((0.07/Assumptions!B40))+('DCF Model'!L16*(1+0.035)/(0.07-0.035))/(1+0.07)^10-Assumptions!B48+Assumptions!B49)/Assumptions!B50</f>
        <v>298.76991698948979</v>
      </c>
      <c r="C9" s="52">
        <f>('DCF Model'!L31*((0.08/Assumptions!B40))+('DCF Model'!L16*(1+0.035)/(0.08-0.035))/(1+0.08)^10-Assumptions!B48+Assumptions!B49)/Assumptions!B50</f>
        <v>231.62975589032487</v>
      </c>
      <c r="D9" s="51">
        <f>('DCF Model'!L31*((0.09/Assumptions!B40))+('DCF Model'!L16*(1+0.035)/(0.09-0.035))/(1+0.09)^10-Assumptions!B48+Assumptions!B49)/Assumptions!B50</f>
        <v>192.65919659480267</v>
      </c>
      <c r="E9" s="52">
        <f>('DCF Model'!L31*((0.1/Assumptions!B40))+('DCF Model'!L16*(1+0.035)/(0.1-0.035))/(1+0.1)^10-Assumptions!B48+Assumptions!B49)/Assumptions!B50</f>
        <v>168.73422728792576</v>
      </c>
      <c r="F9" s="51">
        <f>('DCF Model'!L31*((0.11/Assumptions!B40))+('DCF Model'!L16*(1+0.035)/(0.11-0.035))/(1+0.11)^10-Assumptions!B48+Assumptions!B49)/Assumptions!B50</f>
        <v>153.74226397428845</v>
      </c>
      <c r="G9" s="52">
        <f>('DCF Model'!L31*((0.12/Assumptions!B40))+('DCF Model'!L16*(1+0.035)/(0.12-0.035))/(1+0.12)^10-Assumptions!B48+Assumptions!B49)/Assumptions!B50</f>
        <v>144.45651467084375</v>
      </c>
      <c r="H9" s="28"/>
      <c r="I9" s="28"/>
    </row>
    <row r="10" spans="1:9" ht="15" customHeight="1" x14ac:dyDescent="0.35">
      <c r="A10" s="28"/>
      <c r="B10" s="28"/>
      <c r="C10" s="28"/>
      <c r="D10" s="28"/>
      <c r="E10" s="28"/>
      <c r="F10" s="28"/>
      <c r="G10" s="28"/>
      <c r="H10" s="28"/>
      <c r="I10" s="28"/>
    </row>
    <row r="11" spans="1:9" ht="15" customHeight="1" x14ac:dyDescent="0.35">
      <c r="A11" s="131" t="s">
        <v>171</v>
      </c>
      <c r="B11" s="125"/>
      <c r="C11" s="125"/>
      <c r="D11" s="125"/>
      <c r="E11" s="125"/>
      <c r="F11" s="125"/>
      <c r="G11" s="125"/>
      <c r="H11" s="125"/>
      <c r="I11" s="28"/>
    </row>
    <row r="12" spans="1:9" ht="15" customHeight="1" x14ac:dyDescent="0.35">
      <c r="A12" s="129" t="s">
        <v>172</v>
      </c>
      <c r="B12" s="125"/>
      <c r="C12" s="125"/>
      <c r="D12" s="125"/>
      <c r="E12" s="125"/>
      <c r="F12" s="125"/>
      <c r="G12" s="125"/>
      <c r="H12" s="125"/>
      <c r="I12" s="28"/>
    </row>
    <row r="13" spans="1:9" ht="15" customHeight="1" x14ac:dyDescent="0.35">
      <c r="A13" s="48" t="s">
        <v>169</v>
      </c>
      <c r="B13" s="54" t="s">
        <v>173</v>
      </c>
      <c r="C13" s="54" t="s">
        <v>174</v>
      </c>
      <c r="D13" s="54" t="s">
        <v>175</v>
      </c>
      <c r="E13" s="54" t="s">
        <v>176</v>
      </c>
      <c r="F13" s="54" t="s">
        <v>177</v>
      </c>
      <c r="G13" s="54" t="s">
        <v>178</v>
      </c>
      <c r="H13" s="48" t="s">
        <v>179</v>
      </c>
      <c r="I13" s="28"/>
    </row>
    <row r="14" spans="1:9" ht="15" customHeight="1" x14ac:dyDescent="0.35">
      <c r="A14" s="50">
        <v>7.0000000000000007E-2</v>
      </c>
      <c r="B14" s="51">
        <f>('DCF Model'!L31*((0.07/Assumptions!B40))+('DCF Model'!L10*18)/(1+0.07)^10-Assumptions!B48+Assumptions!B49)/Assumptions!B50</f>
        <v>236.7362714244251</v>
      </c>
      <c r="C14" s="52">
        <f>('DCF Model'!L31*((0.07/Assumptions!B40))+('DCF Model'!L10*22)/(1+0.07)^10-Assumptions!B48+Assumptions!B49)/Assumptions!B50</f>
        <v>279.14128614868167</v>
      </c>
      <c r="D14" s="51">
        <f>('DCF Model'!L31*((0.07/Assumptions!B40))+('DCF Model'!L10*26)/(1+0.07)^10-Assumptions!B48+Assumptions!B49)/Assumptions!B50</f>
        <v>321.54630087293828</v>
      </c>
      <c r="E14" s="52">
        <f>('DCF Model'!L31*((0.07/Assumptions!B40))+('DCF Model'!L10*28)/(1+0.07)^10-Assumptions!B48+Assumptions!B49)/Assumptions!B50</f>
        <v>342.74880823506652</v>
      </c>
      <c r="F14" s="51">
        <f>('DCF Model'!L31*((0.07/Assumptions!B40))+('DCF Model'!L10*32)/(1+0.07)^10-Assumptions!B48+Assumptions!B49)/Assumptions!B50</f>
        <v>385.15382295932307</v>
      </c>
      <c r="G14" s="52">
        <f>('DCF Model'!L31*((0.07/Assumptions!B40))+('DCF Model'!L10*36)/(1+0.07)^10-Assumptions!B48+Assumptions!B49)/Assumptions!B50</f>
        <v>427.55883768357972</v>
      </c>
      <c r="H14" s="28"/>
      <c r="I14" s="28"/>
    </row>
    <row r="15" spans="1:9" ht="15" customHeight="1" x14ac:dyDescent="0.35">
      <c r="A15" s="50">
        <v>0.08</v>
      </c>
      <c r="B15" s="52">
        <f>('DCF Model'!L31*((0.08/Assumptions!B40))+('DCF Model'!L10*18)/(1+0.08)^10-Assumptions!B48+Assumptions!B49)/Assumptions!B50</f>
        <v>226.30543680709309</v>
      </c>
      <c r="C15" s="51">
        <f>('DCF Model'!L31*((0.08/Assumptions!B40))+('DCF Model'!L10*22)/(1+0.08)^10-Assumptions!B48+Assumptions!B49)/Assumptions!B50</f>
        <v>264.94368610990813</v>
      </c>
      <c r="D15" s="52">
        <f>('DCF Model'!L31*((0.08/Assumptions!B40))+('DCF Model'!L10*26)/(1+0.08)^10-Assumptions!B48+Assumptions!B49)/Assumptions!B50</f>
        <v>303.58193541272323</v>
      </c>
      <c r="E15" s="51">
        <f>('DCF Model'!L31*((0.08/Assumptions!B40))+('DCF Model'!L10*28)/(1+0.08)^10-Assumptions!B48+Assumptions!B49)/Assumptions!B50</f>
        <v>322.90106006413077</v>
      </c>
      <c r="F15" s="52">
        <f>('DCF Model'!L31*((0.08/Assumptions!B40))+('DCF Model'!L10*32)/(1+0.08)^10-Assumptions!B48+Assumptions!B49)/Assumptions!B50</f>
        <v>361.53930936694582</v>
      </c>
      <c r="G15" s="51">
        <f>('DCF Model'!L31*((0.08/Assumptions!B40))+('DCF Model'!L10*36)/(1+0.08)^10-Assumptions!B48+Assumptions!B49)/Assumptions!B50</f>
        <v>400.17755866976091</v>
      </c>
      <c r="H15" s="28"/>
      <c r="I15" s="28"/>
    </row>
    <row r="16" spans="1:9" ht="15" customHeight="1" x14ac:dyDescent="0.35">
      <c r="A16" s="50">
        <v>0.09</v>
      </c>
      <c r="B16" s="51">
        <f>('DCF Model'!L31*((0.09/Assumptions!B40))+('DCF Model'!L10*18)/(1+0.09)^10-Assumptions!B48+Assumptions!B49)/Assumptions!B50</f>
        <v>217.51617136241711</v>
      </c>
      <c r="C16" s="52">
        <f>('DCF Model'!L31*((0.09/Assumptions!B40))+('DCF Model'!L10*22)/(1+0.09)^10-Assumptions!B48+Assumptions!B49)/Assumptions!B50</f>
        <v>252.75244839326984</v>
      </c>
      <c r="D16" s="51">
        <f>('DCF Model'!L31*((0.09/Assumptions!B40))+('DCF Model'!L10*26)/(1+0.09)^10-Assumptions!B48+Assumptions!B49)/Assumptions!B50</f>
        <v>287.98872542412261</v>
      </c>
      <c r="E16" s="52">
        <f>('DCF Model'!L31*((0.09/Assumptions!B40))+('DCF Model'!L10*28)/(1+0.09)^10-Assumptions!B48+Assumptions!B49)/Assumptions!B50</f>
        <v>305.60686393954893</v>
      </c>
      <c r="F16" s="51">
        <f>('DCF Model'!L31*((0.09/Assumptions!B40))+('DCF Model'!L10*32)/(1+0.09)^10-Assumptions!B48+Assumptions!B49)/Assumptions!B50</f>
        <v>340.84314097040163</v>
      </c>
      <c r="G16" s="52">
        <f>('DCF Model'!L31*((0.09/Assumptions!B40))+('DCF Model'!L10*36)/(1+0.09)^10-Assumptions!B48+Assumptions!B49)/Assumptions!B50</f>
        <v>376.07941800125428</v>
      </c>
      <c r="H16" s="28"/>
      <c r="I16" s="28"/>
    </row>
    <row r="17" spans="1:9" ht="15" customHeight="1" x14ac:dyDescent="0.35">
      <c r="A17" s="50">
        <v>0.1</v>
      </c>
      <c r="B17" s="52">
        <f>('DCF Model'!L31*((0.1/Assumptions!B40))+('DCF Model'!L10*18)/(1+0.1)^10-Assumptions!B48+Assumptions!B49)/Assumptions!B50</f>
        <v>210.19656782241185</v>
      </c>
      <c r="C17" s="51">
        <f>('DCF Model'!L31*((0.1/Assumptions!B40))+('DCF Model'!L10*22)/(1+0.1)^10-Assumptions!B48+Assumptions!B49)/Assumptions!B50</f>
        <v>242.35746411567345</v>
      </c>
      <c r="D17" s="52">
        <f>('DCF Model'!L31*((0.1/Assumptions!B40))+('DCF Model'!L10*26)/(1+0.1)^10-Assumptions!B48+Assumptions!B49)/Assumptions!B50</f>
        <v>274.518360408935</v>
      </c>
      <c r="E17" s="55">
        <f>('DCF Model'!L31*((0.1/Assumptions!B40))+('DCF Model'!L10*28)/(1+0.1)^10-Assumptions!B48+Assumptions!B49)/Assumptions!B50</f>
        <v>290.59880855556577</v>
      </c>
      <c r="F17" s="52">
        <f>('DCF Model'!L31*((0.1/Assumptions!B40))+('DCF Model'!L10*32)/(1+0.1)^10-Assumptions!B48+Assumptions!B49)/Assumptions!B50</f>
        <v>322.75970484882737</v>
      </c>
      <c r="G17" s="51">
        <f>('DCF Model'!L31*((0.1/Assumptions!B40))+('DCF Model'!L10*36)/(1+0.1)^10-Assumptions!B48+Assumptions!B49)/Assumptions!B50</f>
        <v>354.92060114208903</v>
      </c>
      <c r="H17" s="28"/>
      <c r="I17" s="28"/>
    </row>
    <row r="18" spans="1:9" ht="15" customHeight="1" x14ac:dyDescent="0.35">
      <c r="A18" s="50">
        <v>0.11</v>
      </c>
      <c r="B18" s="51">
        <f>('DCF Model'!L31*((0.11/Assumptions!B40))+('DCF Model'!L10*18)/(1+0.11)^10-Assumptions!B48+Assumptions!B49)/Assumptions!B50</f>
        <v>204.19405166366775</v>
      </c>
      <c r="C18" s="52">
        <f>('DCF Model'!L31*((0.11/Assumptions!B40))+('DCF Model'!L10*22)/(1+0.11)^10-Assumptions!B48+Assumptions!B49)/Assumptions!B50</f>
        <v>233.57225330406297</v>
      </c>
      <c r="D18" s="51">
        <f>('DCF Model'!L31*((0.11/Assumptions!B40))+('DCF Model'!L10*26)/(1+0.11)^10-Assumptions!B48+Assumptions!B49)/Assumptions!B50</f>
        <v>262.95045494445816</v>
      </c>
      <c r="E18" s="52">
        <f>('DCF Model'!L31*((0.11/Assumptions!B40))+('DCF Model'!L10*28)/(1+0.11)^10-Assumptions!B48+Assumptions!B49)/Assumptions!B50</f>
        <v>277.63955576465577</v>
      </c>
      <c r="F18" s="51">
        <f>('DCF Model'!L31*((0.11/Assumptions!B40))+('DCF Model'!L10*32)/(1+0.11)^10-Assumptions!B48+Assumptions!B49)/Assumptions!B50</f>
        <v>307.01775740505093</v>
      </c>
      <c r="G18" s="52">
        <f>('DCF Model'!L31*((0.11/Assumptions!B40))+('DCF Model'!L10*36)/(1+0.11)^10-Assumptions!B48+Assumptions!B49)/Assumptions!B50</f>
        <v>336.39595904544609</v>
      </c>
      <c r="H18" s="28"/>
      <c r="I18" s="28"/>
    </row>
    <row r="19" spans="1:9" ht="15" customHeight="1" x14ac:dyDescent="0.35">
      <c r="A19" s="50">
        <v>0.12</v>
      </c>
      <c r="B19" s="52">
        <f>('DCF Model'!L31*((0.12/Assumptions!B40))+('DCF Model'!L10*18)/(1+0.12)^10-Assumptions!B48+Assumptions!B49)/Assumptions!B50</f>
        <v>199.37305990647531</v>
      </c>
      <c r="C19" s="51">
        <f>('DCF Model'!L31*((0.12/Assumptions!B40))+('DCF Model'!L10*22)/(1+0.12)^10-Assumptions!B48+Assumptions!B49)/Assumptions!B50</f>
        <v>226.23112787212668</v>
      </c>
      <c r="D19" s="52">
        <f>('DCF Model'!L31*((0.12/Assumptions!B40))+('DCF Model'!L10*26)/(1+0.12)^10-Assumptions!B48+Assumptions!B49)/Assumptions!B50</f>
        <v>253.08919583777802</v>
      </c>
      <c r="E19" s="51">
        <f>('DCF Model'!L31*((0.12/Assumptions!B40))+('DCF Model'!L10*28)/(1+0.12)^10-Assumptions!B48+Assumptions!B49)/Assumptions!B50</f>
        <v>266.51822982060372</v>
      </c>
      <c r="F19" s="52">
        <f>('DCF Model'!L31*((0.12/Assumptions!B40))+('DCF Model'!L10*32)/(1+0.12)^10-Assumptions!B48+Assumptions!B49)/Assumptions!B50</f>
        <v>293.37629778625507</v>
      </c>
      <c r="G19" s="51">
        <f>('DCF Model'!L31*((0.12/Assumptions!B40))+('DCF Model'!L10*36)/(1+0.12)^10-Assumptions!B48+Assumptions!B49)/Assumptions!B50</f>
        <v>320.23436575190641</v>
      </c>
      <c r="H19" s="28"/>
      <c r="I19" s="28"/>
    </row>
    <row r="20" spans="1:9" ht="15" customHeight="1" x14ac:dyDescent="0.35">
      <c r="A20" s="28"/>
      <c r="B20" s="28"/>
      <c r="C20" s="28"/>
      <c r="D20" s="28"/>
      <c r="E20" s="28"/>
      <c r="F20" s="28"/>
      <c r="G20" s="28"/>
      <c r="H20" s="28"/>
      <c r="I20" s="28"/>
    </row>
  </sheetData>
  <mergeCells count="4">
    <mergeCell ref="A12:H12"/>
    <mergeCell ref="A3:H3"/>
    <mergeCell ref="A11:H11"/>
    <mergeCell ref="A1:H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51"/>
  <sheetViews>
    <sheetView showGridLines="0" zoomScaleNormal="100" workbookViewId="0">
      <selection activeCell="A28" sqref="A28:G28"/>
    </sheetView>
  </sheetViews>
  <sheetFormatPr defaultColWidth="8.6328125" defaultRowHeight="14.5" x14ac:dyDescent="0.35"/>
  <cols>
    <col min="1" max="1" width="65.453125" customWidth="1"/>
    <col min="2" max="2" width="12.26953125" customWidth="1"/>
    <col min="3" max="3" width="15.7265625" customWidth="1"/>
    <col min="4" max="4" width="32.26953125" customWidth="1"/>
    <col min="5" max="5" width="11.26953125" customWidth="1"/>
    <col min="6" max="6" width="18.08984375" customWidth="1"/>
    <col min="7" max="7" width="16.7265625" customWidth="1"/>
    <col min="8" max="8" width="18" customWidth="1"/>
    <col min="9" max="9" width="16.54296875" customWidth="1"/>
    <col min="10" max="10" width="19.453125" customWidth="1"/>
    <col min="11" max="11" width="58" customWidth="1"/>
  </cols>
  <sheetData>
    <row r="1" spans="1:11" ht="18" customHeight="1" x14ac:dyDescent="0.35">
      <c r="A1" s="134" t="s">
        <v>180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5" customHeight="1" x14ac:dyDescent="0.35">
      <c r="A2" s="132" t="s">
        <v>1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15" customHeight="1" x14ac:dyDescent="0.35">
      <c r="A3" s="56" t="s">
        <v>181</v>
      </c>
      <c r="B3" s="57" t="s">
        <v>182</v>
      </c>
      <c r="C3" s="58" t="s">
        <v>183</v>
      </c>
    </row>
    <row r="5" spans="1:11" ht="15" customHeight="1" x14ac:dyDescent="0.35">
      <c r="A5" s="133" t="s">
        <v>184</v>
      </c>
      <c r="B5" s="125"/>
      <c r="C5" s="125"/>
      <c r="D5" s="125"/>
      <c r="E5" s="125"/>
    </row>
    <row r="6" spans="1:11" ht="15" customHeight="1" x14ac:dyDescent="0.35">
      <c r="A6" s="59" t="s">
        <v>185</v>
      </c>
      <c r="B6" s="60"/>
      <c r="D6" s="61" t="s">
        <v>186</v>
      </c>
    </row>
    <row r="7" spans="1:11" ht="15" customHeight="1" x14ac:dyDescent="0.35">
      <c r="A7" s="59" t="s">
        <v>187</v>
      </c>
      <c r="B7" s="62">
        <v>232000</v>
      </c>
      <c r="D7" s="61">
        <v>232000</v>
      </c>
    </row>
    <row r="8" spans="1:11" ht="15" customHeight="1" x14ac:dyDescent="0.35">
      <c r="A8" s="59" t="s">
        <v>188</v>
      </c>
      <c r="B8" s="63">
        <v>0.15</v>
      </c>
      <c r="D8" s="64" t="s">
        <v>189</v>
      </c>
    </row>
    <row r="9" spans="1:11" ht="15" customHeight="1" x14ac:dyDescent="0.35">
      <c r="A9" s="59" t="s">
        <v>190</v>
      </c>
      <c r="B9" s="62">
        <v>-6768</v>
      </c>
      <c r="D9" s="61">
        <v>-6768</v>
      </c>
    </row>
    <row r="10" spans="1:11" ht="15" customHeight="1" x14ac:dyDescent="0.35">
      <c r="A10" s="59" t="s">
        <v>191</v>
      </c>
      <c r="B10" s="62">
        <v>24483</v>
      </c>
      <c r="D10" s="61">
        <v>24483</v>
      </c>
    </row>
    <row r="11" spans="1:11" ht="15" customHeight="1" x14ac:dyDescent="0.35">
      <c r="A11" s="59" t="s">
        <v>17</v>
      </c>
      <c r="B11" s="65">
        <v>181.69</v>
      </c>
      <c r="D11" s="61">
        <v>181.69</v>
      </c>
    </row>
    <row r="13" spans="1:11" ht="15" customHeight="1" x14ac:dyDescent="0.35">
      <c r="A13" s="133" t="s">
        <v>192</v>
      </c>
      <c r="B13" s="125"/>
      <c r="C13" s="125"/>
      <c r="D13" s="125"/>
      <c r="E13" s="125"/>
      <c r="F13" s="125"/>
      <c r="G13" s="125"/>
      <c r="H13" s="125"/>
      <c r="I13" s="125"/>
      <c r="J13" s="125"/>
      <c r="K13" s="125"/>
    </row>
    <row r="14" spans="1:11" ht="15" customHeight="1" x14ac:dyDescent="0.35">
      <c r="A14" s="66" t="s">
        <v>193</v>
      </c>
      <c r="B14" s="66" t="s">
        <v>194</v>
      </c>
      <c r="C14" s="66" t="s">
        <v>195</v>
      </c>
      <c r="D14" s="66" t="s">
        <v>196</v>
      </c>
      <c r="E14" s="66" t="s">
        <v>197</v>
      </c>
      <c r="F14" s="66" t="s">
        <v>198</v>
      </c>
      <c r="G14" s="66" t="s">
        <v>187</v>
      </c>
      <c r="H14" s="66" t="s">
        <v>199</v>
      </c>
      <c r="I14" s="66" t="s">
        <v>200</v>
      </c>
      <c r="J14" s="66" t="s">
        <v>201</v>
      </c>
      <c r="K14" s="66" t="s">
        <v>7</v>
      </c>
    </row>
    <row r="15" spans="1:11" ht="15" customHeight="1" x14ac:dyDescent="0.35">
      <c r="A15" s="67" t="s">
        <v>202</v>
      </c>
      <c r="B15" s="68" t="s">
        <v>203</v>
      </c>
      <c r="C15" s="69">
        <v>1570000</v>
      </c>
      <c r="D15" s="69">
        <v>67000</v>
      </c>
      <c r="E15" s="70">
        <f t="shared" ref="E15:E20" si="0">C15+D15</f>
        <v>1637000</v>
      </c>
      <c r="F15" s="69">
        <v>82000</v>
      </c>
      <c r="G15" s="69">
        <v>43000</v>
      </c>
      <c r="H15" s="71">
        <f t="shared" ref="H15:H20" si="1">IF(F15&gt;0,E15/F15,"-")</f>
        <v>19.963414634146343</v>
      </c>
      <c r="I15" s="71">
        <f t="shared" ref="I15:I20" si="2">IF(G15&gt;0,E15/G15,"-")</f>
        <v>38.069767441860463</v>
      </c>
      <c r="J15" s="72">
        <f t="shared" ref="J15:J20" si="3">IF(F15&gt;0,G15/F15,"-")</f>
        <v>0.52439024390243905</v>
      </c>
      <c r="K15" s="73" t="s">
        <v>204</v>
      </c>
    </row>
    <row r="16" spans="1:11" ht="15" customHeight="1" x14ac:dyDescent="0.35">
      <c r="A16" s="74" t="s">
        <v>205</v>
      </c>
      <c r="B16" s="75" t="s">
        <v>206</v>
      </c>
      <c r="C16" s="76">
        <v>1760000</v>
      </c>
      <c r="D16" s="76">
        <v>-60000</v>
      </c>
      <c r="E16" s="77">
        <f t="shared" si="0"/>
        <v>1700000</v>
      </c>
      <c r="F16" s="76">
        <v>135000</v>
      </c>
      <c r="G16" s="76">
        <v>97000</v>
      </c>
      <c r="H16" s="78">
        <f t="shared" si="1"/>
        <v>12.592592592592593</v>
      </c>
      <c r="I16" s="78">
        <f t="shared" si="2"/>
        <v>17.52577319587629</v>
      </c>
      <c r="J16" s="79">
        <f t="shared" si="3"/>
        <v>0.71851851851851856</v>
      </c>
      <c r="K16" s="80" t="s">
        <v>207</v>
      </c>
    </row>
    <row r="17" spans="1:11" ht="15" customHeight="1" x14ac:dyDescent="0.35">
      <c r="A17" s="67" t="s">
        <v>208</v>
      </c>
      <c r="B17" s="68" t="s">
        <v>209</v>
      </c>
      <c r="C17" s="69">
        <v>320000</v>
      </c>
      <c r="D17" s="69">
        <v>2000</v>
      </c>
      <c r="E17" s="70">
        <f t="shared" si="0"/>
        <v>322000</v>
      </c>
      <c r="F17" s="69">
        <v>32000</v>
      </c>
      <c r="G17" s="69">
        <v>8500</v>
      </c>
      <c r="H17" s="71">
        <f t="shared" si="1"/>
        <v>10.0625</v>
      </c>
      <c r="I17" s="71">
        <f t="shared" si="2"/>
        <v>37.882352941176471</v>
      </c>
      <c r="J17" s="72">
        <f t="shared" si="3"/>
        <v>0.265625</v>
      </c>
      <c r="K17" s="73" t="s">
        <v>210</v>
      </c>
    </row>
    <row r="18" spans="1:11" ht="15" customHeight="1" x14ac:dyDescent="0.35">
      <c r="A18" s="74" t="s">
        <v>211</v>
      </c>
      <c r="B18" s="75" t="s">
        <v>212</v>
      </c>
      <c r="C18" s="76">
        <v>80000</v>
      </c>
      <c r="D18" s="76">
        <v>2500</v>
      </c>
      <c r="E18" s="77">
        <f t="shared" si="0"/>
        <v>82500</v>
      </c>
      <c r="F18" s="76">
        <v>7500</v>
      </c>
      <c r="G18" s="76">
        <v>2800</v>
      </c>
      <c r="H18" s="78">
        <f t="shared" si="1"/>
        <v>11</v>
      </c>
      <c r="I18" s="78">
        <f t="shared" si="2"/>
        <v>29.464285714285715</v>
      </c>
      <c r="J18" s="79">
        <f t="shared" si="3"/>
        <v>0.37333333333333335</v>
      </c>
      <c r="K18" s="80" t="s">
        <v>213</v>
      </c>
    </row>
    <row r="19" spans="1:11" ht="15" customHeight="1" x14ac:dyDescent="0.35">
      <c r="A19" s="67" t="s">
        <v>214</v>
      </c>
      <c r="B19" s="68" t="s">
        <v>215</v>
      </c>
      <c r="C19" s="69">
        <v>160000</v>
      </c>
      <c r="D19" s="69">
        <v>6000</v>
      </c>
      <c r="E19" s="70">
        <f t="shared" si="0"/>
        <v>166000</v>
      </c>
      <c r="F19" s="69">
        <v>44000</v>
      </c>
      <c r="G19" s="69">
        <v>14000</v>
      </c>
      <c r="H19" s="71">
        <f t="shared" si="1"/>
        <v>3.7727272727272729</v>
      </c>
      <c r="I19" s="71">
        <f t="shared" si="2"/>
        <v>11.857142857142858</v>
      </c>
      <c r="J19" s="72">
        <f t="shared" si="3"/>
        <v>0.31818181818181818</v>
      </c>
      <c r="K19" s="73" t="s">
        <v>216</v>
      </c>
    </row>
    <row r="20" spans="1:11" ht="15" customHeight="1" x14ac:dyDescent="0.35">
      <c r="A20" s="81" t="s">
        <v>217</v>
      </c>
      <c r="B20" s="82" t="s">
        <v>218</v>
      </c>
      <c r="C20" s="83">
        <v>90000</v>
      </c>
      <c r="D20" s="83">
        <v>18000</v>
      </c>
      <c r="E20" s="84">
        <f t="shared" si="0"/>
        <v>108000</v>
      </c>
      <c r="F20" s="83">
        <v>55000</v>
      </c>
      <c r="G20" s="83">
        <v>9000</v>
      </c>
      <c r="H20" s="85">
        <f t="shared" si="1"/>
        <v>1.9636363636363636</v>
      </c>
      <c r="I20" s="85">
        <f t="shared" si="2"/>
        <v>12</v>
      </c>
      <c r="J20" s="86">
        <f t="shared" si="3"/>
        <v>0.16363636363636364</v>
      </c>
      <c r="K20" s="87" t="s">
        <v>219</v>
      </c>
    </row>
    <row r="21" spans="1:11" ht="15" customHeight="1" x14ac:dyDescent="0.35">
      <c r="A21" s="88" t="s">
        <v>220</v>
      </c>
      <c r="B21" s="89"/>
      <c r="C21" s="89"/>
      <c r="D21" s="89"/>
      <c r="E21" s="89"/>
      <c r="F21" s="89"/>
      <c r="G21" s="89"/>
      <c r="H21" s="90">
        <f>IFERROR(AVERAGE(H15:H20),"-")</f>
        <v>9.8924784771837615</v>
      </c>
      <c r="I21" s="90">
        <f>IFERROR(AVERAGE(I15:I20),"-")</f>
        <v>24.466553691723632</v>
      </c>
      <c r="J21" s="89"/>
      <c r="K21" s="89"/>
    </row>
    <row r="22" spans="1:11" ht="15" customHeight="1" x14ac:dyDescent="0.35">
      <c r="A22" s="91" t="s">
        <v>221</v>
      </c>
      <c r="B22" s="92"/>
      <c r="C22" s="92"/>
      <c r="D22" s="92"/>
      <c r="E22" s="92"/>
      <c r="F22" s="92"/>
      <c r="G22" s="92"/>
      <c r="H22" s="90">
        <f>IFERROR(AVERAGE(H16:H20),"-")</f>
        <v>7.878291245791246</v>
      </c>
      <c r="I22" s="93">
        <f>IFERROR(MEDIAN(I15:I20),"-")</f>
        <v>23.495029455081003</v>
      </c>
      <c r="J22" s="92"/>
      <c r="K22" s="92"/>
    </row>
    <row r="23" spans="1:11" ht="15" customHeight="1" x14ac:dyDescent="0.35">
      <c r="A23" s="91" t="s">
        <v>222</v>
      </c>
      <c r="B23" s="92"/>
      <c r="C23" s="92"/>
      <c r="D23" s="92"/>
      <c r="E23" s="92"/>
      <c r="F23" s="92"/>
      <c r="G23" s="92"/>
      <c r="H23" s="90">
        <f>IFERROR(AVERAGE(H17:H20),"-")</f>
        <v>6.6997159090909095</v>
      </c>
      <c r="I23" s="93">
        <f>IFERROR(MEDIAN(I16:I21),"-")</f>
        <v>20.996163443799961</v>
      </c>
      <c r="J23" s="92"/>
      <c r="K23" s="92"/>
    </row>
    <row r="24" spans="1:11" ht="15" customHeight="1" x14ac:dyDescent="0.35">
      <c r="A24" s="91" t="s">
        <v>223</v>
      </c>
      <c r="B24" s="92"/>
      <c r="C24" s="92"/>
      <c r="D24" s="92"/>
      <c r="E24" s="92"/>
      <c r="F24" s="92"/>
      <c r="G24" s="92"/>
      <c r="H24" s="90">
        <f>IFERROR(AVERAGE(H18:H21),"-")</f>
        <v>6.6572105283868499</v>
      </c>
      <c r="I24" s="93">
        <f>IFERROR(MEDIAN(I17:I22),"-")</f>
        <v>23.980791573402318</v>
      </c>
      <c r="J24" s="92"/>
      <c r="K24" s="92"/>
    </row>
    <row r="28" spans="1:11" ht="15" customHeight="1" x14ac:dyDescent="0.35">
      <c r="A28" s="133" t="s">
        <v>224</v>
      </c>
      <c r="B28" s="125"/>
      <c r="C28" s="125"/>
      <c r="D28" s="125"/>
      <c r="E28" s="125"/>
      <c r="F28" s="125"/>
      <c r="G28" s="125"/>
    </row>
    <row r="29" spans="1:11" ht="15" customHeight="1" x14ac:dyDescent="0.35">
      <c r="A29" s="59" t="s">
        <v>225</v>
      </c>
      <c r="B29" s="71">
        <f>IFERROR(MEDIAN(I15:I20),0)</f>
        <v>23.495029455081003</v>
      </c>
    </row>
    <row r="30" spans="1:11" ht="15" customHeight="1" x14ac:dyDescent="0.35">
      <c r="A30" s="59" t="s">
        <v>226</v>
      </c>
      <c r="B30" s="79">
        <f>$B$8</f>
        <v>0.15</v>
      </c>
    </row>
    <row r="31" spans="1:11" ht="15" customHeight="1" x14ac:dyDescent="0.35">
      <c r="A31" s="59" t="s">
        <v>227</v>
      </c>
      <c r="B31" s="94">
        <f>B29*(1+B30)</f>
        <v>27.019283873343152</v>
      </c>
    </row>
    <row r="32" spans="1:11" ht="15" customHeight="1" x14ac:dyDescent="0.35">
      <c r="A32" s="59" t="s">
        <v>187</v>
      </c>
      <c r="B32" s="77">
        <f>$B$7</f>
        <v>232000</v>
      </c>
    </row>
    <row r="33" spans="1:7" ht="15" customHeight="1" x14ac:dyDescent="0.35">
      <c r="A33" s="59" t="s">
        <v>228</v>
      </c>
      <c r="B33" s="70">
        <f>B31*B32</f>
        <v>6268473.8586156117</v>
      </c>
    </row>
    <row r="34" spans="1:7" ht="15" customHeight="1" x14ac:dyDescent="0.35">
      <c r="A34" s="59" t="s">
        <v>229</v>
      </c>
      <c r="B34" s="95">
        <f>$B$9</f>
        <v>-6768</v>
      </c>
    </row>
    <row r="35" spans="1:7" ht="15" customHeight="1" x14ac:dyDescent="0.35">
      <c r="A35" s="59" t="s">
        <v>230</v>
      </c>
      <c r="B35" s="70">
        <f>B33-B34</f>
        <v>6275241.8586156117</v>
      </c>
    </row>
    <row r="36" spans="1:7" ht="15" customHeight="1" x14ac:dyDescent="0.35">
      <c r="A36" s="59" t="s">
        <v>191</v>
      </c>
      <c r="B36" s="96">
        <f>$B$10</f>
        <v>24483</v>
      </c>
    </row>
    <row r="37" spans="1:7" ht="15" customHeight="1" x14ac:dyDescent="0.35">
      <c r="A37" s="59" t="s">
        <v>231</v>
      </c>
      <c r="B37" s="97">
        <f>IF(B36&gt;0,B35/B36,"N/A")</f>
        <v>256.31016863193281</v>
      </c>
    </row>
    <row r="38" spans="1:7" ht="15" customHeight="1" x14ac:dyDescent="0.35">
      <c r="A38" s="59" t="s">
        <v>17</v>
      </c>
      <c r="B38" s="98">
        <f>$B$11</f>
        <v>181.69</v>
      </c>
    </row>
    <row r="39" spans="1:7" ht="15" customHeight="1" x14ac:dyDescent="0.35">
      <c r="A39" s="59" t="s">
        <v>19</v>
      </c>
      <c r="B39" s="99">
        <f>IF(ISNUMBER(B37),(B37-B38)/B38,"N/A")</f>
        <v>0.41070047130790255</v>
      </c>
    </row>
    <row r="42" spans="1:7" ht="15" customHeight="1" x14ac:dyDescent="0.35">
      <c r="A42" s="133" t="s">
        <v>232</v>
      </c>
      <c r="B42" s="125"/>
      <c r="C42" s="125"/>
      <c r="D42" s="125"/>
      <c r="E42" s="125"/>
      <c r="F42" s="125"/>
      <c r="G42" s="125"/>
    </row>
    <row r="43" spans="1:7" ht="15" customHeight="1" x14ac:dyDescent="0.35">
      <c r="A43" s="64" t="s">
        <v>233</v>
      </c>
    </row>
    <row r="44" spans="1:7" ht="15" customHeight="1" x14ac:dyDescent="0.35">
      <c r="A44" s="100" t="s">
        <v>234</v>
      </c>
      <c r="B44" s="66" t="s">
        <v>235</v>
      </c>
      <c r="C44" s="66" t="s">
        <v>236</v>
      </c>
      <c r="D44" s="66" t="s">
        <v>237</v>
      </c>
      <c r="E44" s="66" t="s">
        <v>238</v>
      </c>
      <c r="F44" s="66" t="s">
        <v>239</v>
      </c>
    </row>
    <row r="45" spans="1:7" ht="15" customHeight="1" x14ac:dyDescent="0.35">
      <c r="A45" s="101">
        <v>20</v>
      </c>
      <c r="B45" s="98">
        <f>IF(AND(ISNUMBER($B$7),$B$10&gt;0),(8*$B$7*(1+-0.2)-$B$9)/$B$10,"N/A")</f>
        <v>60.922599354654253</v>
      </c>
      <c r="C45" s="98">
        <f>IF(AND(ISNUMBER($B$7),$B$10&gt;0),(8*$B$7*(1+-0.1)-$B$9)/$B$10,"N/A")</f>
        <v>68.503369685087605</v>
      </c>
      <c r="D45" s="102">
        <f>IF(AND(ISNUMBER($B$7),$B$10&gt;0),(8*$B$7*(1+0)-$B$9)/$B$10,"N/A")</f>
        <v>76.084140015520973</v>
      </c>
      <c r="E45" s="98">
        <f>IF(AND(ISNUMBER($B$7),$B$10&gt;0),(8*$B$7*(1+0.1)-$B$9)/$B$10,"N/A")</f>
        <v>83.66491034595434</v>
      </c>
      <c r="F45" s="98">
        <f>IF(AND(ISNUMBER($B$7),$B$10&gt;0),(8*$B$7*(1+0.2)-$B$9)/$B$10,"N/A")</f>
        <v>91.245680676387693</v>
      </c>
    </row>
    <row r="46" spans="1:7" ht="15" customHeight="1" x14ac:dyDescent="0.35">
      <c r="A46" s="101">
        <v>25</v>
      </c>
      <c r="B46" s="103">
        <f>IF(AND(ISNUMBER($B$7),$B$10&gt;0),(10*$B$7*(1+-0.2)-$B$9)/$B$10,"N/A")</f>
        <v>76.084140015520973</v>
      </c>
      <c r="C46" s="103">
        <f>IF(AND(ISNUMBER($B$7),$B$10&gt;0),(10*$B$7*(1+-0.1)-$B$9)/$B$10,"N/A")</f>
        <v>85.560102928562671</v>
      </c>
      <c r="D46" s="102">
        <f>IF(AND(ISNUMBER($B$7),$B$10&gt;0),(10*$B$7*(1+0)-$B$9)/$B$10,"N/A")</f>
        <v>95.036065841604383</v>
      </c>
      <c r="E46" s="103">
        <f>IF(AND(ISNUMBER($B$7),$B$10&gt;0),(10*$B$7*(1+0.1)-$B$9)/$B$10,"N/A")</f>
        <v>104.51202875464608</v>
      </c>
      <c r="F46" s="103">
        <f>IF(AND(ISNUMBER($B$7),$B$10&gt;0),(10*$B$7*(1+0.2)-$B$9)/$B$10,"N/A")</f>
        <v>113.98799166768778</v>
      </c>
    </row>
    <row r="47" spans="1:7" ht="15" customHeight="1" x14ac:dyDescent="0.35">
      <c r="A47" s="101">
        <v>30</v>
      </c>
      <c r="B47" s="98">
        <f>IF(AND(ISNUMBER($B$7),$B$10&gt;0),(12*$B$7*(1+-0.2)-$B$9)/$B$10,"N/A")</f>
        <v>91.245680676387693</v>
      </c>
      <c r="C47" s="98">
        <f>IF(AND(ISNUMBER($B$7),$B$10&gt;0),(12*$B$7*(1+-0.1)-$B$9)/$B$10,"N/A")</f>
        <v>102.61683617203774</v>
      </c>
      <c r="D47" s="102">
        <f>IF(AND(ISNUMBER($B$7),$B$10&gt;0),(12*$B$7*(1+0)-$B$9)/$B$10,"N/A")</f>
        <v>113.98799166768778</v>
      </c>
      <c r="E47" s="98">
        <f>IF(AND(ISNUMBER($B$7),$B$10&gt;0),(12*$B$7*(1+0.1)-$B$9)/$B$10,"N/A")</f>
        <v>125.35914716333785</v>
      </c>
      <c r="F47" s="98">
        <f>IF(AND(ISNUMBER($B$7),$B$10&gt;0),(12*$B$7*(1+0.2)-$B$9)/$B$10,"N/A")</f>
        <v>136.73030265898788</v>
      </c>
    </row>
    <row r="48" spans="1:7" ht="15" customHeight="1" x14ac:dyDescent="0.35">
      <c r="A48" s="101">
        <v>35</v>
      </c>
      <c r="B48" s="103">
        <f>IF(AND(ISNUMBER($B$7),$B$10&gt;0),(14*$B$7*(1+-0.2)-$B$9)/$B$10,"N/A")</f>
        <v>106.40722133725443</v>
      </c>
      <c r="C48" s="103">
        <f>IF(AND(ISNUMBER($B$7),$B$10&gt;0),(14*$B$7*(1+-0.1)-$B$9)/$B$10,"N/A")</f>
        <v>119.6735694155128</v>
      </c>
      <c r="D48" s="102">
        <f>IF(AND(ISNUMBER($B$7),$B$10&gt;0),(14*$B$7*(1+0)-$B$9)/$B$10,"N/A")</f>
        <v>132.93991749377119</v>
      </c>
      <c r="E48" s="103">
        <f>IF(AND(ISNUMBER($B$7),$B$10&gt;0),(14*$B$7*(1+0.1)-$B$9)/$B$10,"N/A")</f>
        <v>146.20626557202959</v>
      </c>
      <c r="F48" s="103">
        <f>IF(AND(ISNUMBER($B$7),$B$10&gt;0),(14*$B$7*(1+0.2)-$B$9)/$B$10,"N/A")</f>
        <v>159.47261365028797</v>
      </c>
    </row>
    <row r="49" spans="1:6" ht="15" customHeight="1" x14ac:dyDescent="0.35">
      <c r="A49" s="101">
        <v>40</v>
      </c>
      <c r="B49" s="98">
        <f>IF(AND(ISNUMBER($B$7),$B$10&gt;0),(16*$B$7*(1+-0.2)-$B$9)/$B$10,"N/A")</f>
        <v>121.56876199812115</v>
      </c>
      <c r="C49" s="98">
        <f>IF(AND(ISNUMBER($B$7),$B$10&gt;0),(16*$B$7*(1+-0.1)-$B$9)/$B$10,"N/A")</f>
        <v>136.73030265898788</v>
      </c>
      <c r="D49" s="102">
        <f>IF(AND(ISNUMBER($B$7),$B$10&gt;0),(16*$B$7*(1+0)-$B$9)/$B$10,"N/A")</f>
        <v>151.89184331985459</v>
      </c>
      <c r="E49" s="98">
        <f>IF(AND(ISNUMBER($B$7),$B$10&gt;0),(16*$B$7*(1+0.1)-$B$9)/$B$10,"N/A")</f>
        <v>167.05338398072135</v>
      </c>
      <c r="F49" s="98">
        <f>IF(AND(ISNUMBER($B$7),$B$10&gt;0),(16*$B$7*(1+0.2)-$B$9)/$B$10,"N/A")</f>
        <v>182.21492464158803</v>
      </c>
    </row>
    <row r="50" spans="1:6" ht="15" customHeight="1" x14ac:dyDescent="0.35">
      <c r="A50" s="101">
        <v>45</v>
      </c>
      <c r="B50" s="103">
        <f>IF(AND(ISNUMBER($B$7),$B$10&gt;0),(18*$B$7*(1+-0.2)-$B$9)/$B$10,"N/A")</f>
        <v>136.73030265898788</v>
      </c>
      <c r="C50" s="103">
        <f>IF(AND(ISNUMBER($B$7),$B$10&gt;0),(18*$B$7*(1+-0.1)-$B$9)/$B$10,"N/A")</f>
        <v>153.78703590246295</v>
      </c>
      <c r="D50" s="102">
        <f>IF(AND(ISNUMBER($B$7),$B$10&gt;0),(18*$B$7*(1+0)-$B$9)/$B$10,"N/A")</f>
        <v>170.84376914593801</v>
      </c>
      <c r="E50" s="103">
        <f>IF(AND(ISNUMBER($B$7),$B$10&gt;0),(18*$B$7*(1+0.1)-$B$9)/$B$10,"N/A")</f>
        <v>187.90050238941305</v>
      </c>
      <c r="F50" s="103">
        <f>IF(AND(ISNUMBER($B$7),$B$10&gt;0),(18*$B$7*(1+0.2)-$B$9)/$B$10,"N/A")</f>
        <v>204.95723563288811</v>
      </c>
    </row>
    <row r="51" spans="1:6" ht="15" customHeight="1" x14ac:dyDescent="0.35">
      <c r="A51" s="101">
        <v>50</v>
      </c>
      <c r="B51" s="98">
        <f>IF(AND(ISNUMBER($B$7),$B$10&gt;0),(20*$B$7*(1+-0.2)-$B$9)/$B$10,"N/A")</f>
        <v>151.89184331985459</v>
      </c>
      <c r="C51" s="98">
        <f>IF(AND(ISNUMBER($B$7),$B$10&gt;0),(20*$B$7*(1+-0.1)-$B$9)/$B$10,"N/A")</f>
        <v>170.84376914593801</v>
      </c>
      <c r="D51" s="102">
        <f>IF(AND(ISNUMBER($B$7),$B$10&gt;0),(20*$B$7*(1+0)-$B$9)/$B$10,"N/A")</f>
        <v>189.79569497202141</v>
      </c>
      <c r="E51" s="98">
        <f>IF(AND(ISNUMBER($B$7),$B$10&gt;0),(20*$B$7*(1+0.1)-$B$9)/$B$10,"N/A")</f>
        <v>208.7476207981048</v>
      </c>
      <c r="F51" s="98">
        <f>IF(AND(ISNUMBER($B$7),$B$10&gt;0),(20*$B$7*(1+0.2)-$B$9)/$B$10,"N/A")</f>
        <v>227.6995466241882</v>
      </c>
    </row>
  </sheetData>
  <mergeCells count="6">
    <mergeCell ref="A2:K2"/>
    <mergeCell ref="A5:E5"/>
    <mergeCell ref="A42:G42"/>
    <mergeCell ref="A13:K13"/>
    <mergeCell ref="A1:K1"/>
    <mergeCell ref="A28:G28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45"/>
  <sheetViews>
    <sheetView showGridLines="0" zoomScaleNormal="100" workbookViewId="0">
      <selection activeCell="B8" sqref="B8"/>
    </sheetView>
  </sheetViews>
  <sheetFormatPr defaultColWidth="8.6328125" defaultRowHeight="14.5" x14ac:dyDescent="0.35"/>
  <cols>
    <col min="1" max="1" width="59.81640625" customWidth="1"/>
    <col min="2" max="2" width="9" customWidth="1"/>
    <col min="3" max="3" width="14.08984375" customWidth="1"/>
    <col min="4" max="4" width="32.26953125" customWidth="1"/>
    <col min="5" max="5" width="9.7265625" customWidth="1"/>
    <col min="6" max="6" width="17.81640625" customWidth="1"/>
    <col min="7" max="7" width="10.08984375" customWidth="1"/>
    <col min="8" max="8" width="14.26953125" customWidth="1"/>
    <col min="9" max="9" width="10.81640625" customWidth="1"/>
    <col min="10" max="10" width="41.26953125" customWidth="1"/>
  </cols>
  <sheetData>
    <row r="1" spans="1:10" ht="18" customHeight="1" x14ac:dyDescent="0.35">
      <c r="A1" s="134" t="s">
        <v>240</v>
      </c>
      <c r="B1" s="125"/>
      <c r="C1" s="125"/>
      <c r="D1" s="125"/>
      <c r="E1" s="125"/>
      <c r="F1" s="125"/>
      <c r="G1" s="125"/>
      <c r="H1" s="125"/>
      <c r="I1" s="125"/>
      <c r="J1" s="125"/>
    </row>
    <row r="2" spans="1:10" ht="15" customHeight="1" x14ac:dyDescent="0.35">
      <c r="A2" s="132" t="s">
        <v>1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5" customHeight="1" x14ac:dyDescent="0.35">
      <c r="A3" s="56" t="s">
        <v>181</v>
      </c>
      <c r="B3" s="57" t="s">
        <v>182</v>
      </c>
      <c r="C3" s="58" t="s">
        <v>183</v>
      </c>
    </row>
    <row r="5" spans="1:10" ht="15" customHeight="1" x14ac:dyDescent="0.35">
      <c r="A5" s="133" t="s">
        <v>184</v>
      </c>
      <c r="B5" s="125"/>
      <c r="C5" s="125"/>
      <c r="D5" s="125"/>
      <c r="E5" s="125"/>
    </row>
    <row r="6" spans="1:10" ht="15" customHeight="1" x14ac:dyDescent="0.35">
      <c r="A6" s="59" t="s">
        <v>185</v>
      </c>
      <c r="B6" s="135" t="s">
        <v>186</v>
      </c>
      <c r="C6" s="125"/>
      <c r="D6" s="125"/>
    </row>
    <row r="7" spans="1:10" ht="15" customHeight="1" x14ac:dyDescent="0.35">
      <c r="A7" s="59" t="s">
        <v>241</v>
      </c>
      <c r="B7" s="65">
        <v>7.25</v>
      </c>
      <c r="D7" s="61"/>
    </row>
    <row r="8" spans="1:10" ht="15" customHeight="1" x14ac:dyDescent="0.35">
      <c r="A8" s="59" t="s">
        <v>188</v>
      </c>
      <c r="B8" s="63">
        <v>0.2</v>
      </c>
      <c r="D8" s="64" t="s">
        <v>189</v>
      </c>
    </row>
    <row r="9" spans="1:10" ht="15" customHeight="1" x14ac:dyDescent="0.35">
      <c r="A9" s="59" t="s">
        <v>17</v>
      </c>
      <c r="B9" s="65">
        <v>181.69</v>
      </c>
      <c r="D9" s="61"/>
    </row>
    <row r="11" spans="1:10" ht="15" customHeight="1" x14ac:dyDescent="0.35">
      <c r="A11" s="133" t="s">
        <v>192</v>
      </c>
      <c r="B11" s="125"/>
      <c r="C11" s="125"/>
      <c r="D11" s="125"/>
      <c r="E11" s="125"/>
      <c r="F11" s="125"/>
      <c r="G11" s="125"/>
      <c r="H11" s="125"/>
      <c r="I11" s="125"/>
      <c r="J11" s="125"/>
    </row>
    <row r="12" spans="1:10" ht="15" customHeight="1" x14ac:dyDescent="0.35">
      <c r="A12" s="66" t="s">
        <v>193</v>
      </c>
      <c r="B12" s="66" t="s">
        <v>194</v>
      </c>
      <c r="C12" s="66" t="s">
        <v>242</v>
      </c>
      <c r="D12" s="66" t="s">
        <v>241</v>
      </c>
      <c r="E12" s="66" t="s">
        <v>243</v>
      </c>
      <c r="F12" s="66" t="s">
        <v>244</v>
      </c>
      <c r="G12" s="66" t="s">
        <v>245</v>
      </c>
      <c r="H12" s="66" t="s">
        <v>246</v>
      </c>
      <c r="I12" s="66" t="s">
        <v>247</v>
      </c>
      <c r="J12" s="66" t="s">
        <v>7</v>
      </c>
    </row>
    <row r="13" spans="1:10" ht="15" customHeight="1" x14ac:dyDescent="0.35">
      <c r="A13" s="67" t="s">
        <v>202</v>
      </c>
      <c r="B13" s="104" t="s">
        <v>203</v>
      </c>
      <c r="C13" s="105">
        <v>330</v>
      </c>
      <c r="D13" s="105">
        <v>13.32</v>
      </c>
      <c r="E13" s="71">
        <f t="shared" ref="E13:E18" si="0">IF(D13&gt;0,C13/D13,"-")</f>
        <v>24.774774774774773</v>
      </c>
      <c r="F13" s="106">
        <v>0.35</v>
      </c>
      <c r="G13" s="71">
        <f t="shared" ref="G13:G18" si="1">IF(AND(E13&lt;&gt;"-",F13&gt;0),E13/(F13*100),"-")</f>
        <v>0.70785070785070781</v>
      </c>
      <c r="H13" s="106">
        <v>8.0000000000000002E-3</v>
      </c>
      <c r="I13" s="106">
        <v>0.36199999999999999</v>
      </c>
      <c r="J13" s="73" t="s">
        <v>248</v>
      </c>
    </row>
    <row r="14" spans="1:10" ht="15" customHeight="1" x14ac:dyDescent="0.35">
      <c r="A14" s="74" t="s">
        <v>205</v>
      </c>
      <c r="B14" s="107" t="s">
        <v>206</v>
      </c>
      <c r="C14" s="108">
        <v>353.86</v>
      </c>
      <c r="D14" s="108">
        <v>10.6</v>
      </c>
      <c r="E14" s="78">
        <f t="shared" si="0"/>
        <v>33.383018867924534</v>
      </c>
      <c r="F14" s="109">
        <v>0.3</v>
      </c>
      <c r="G14" s="78">
        <f t="shared" si="1"/>
        <v>1.1127672955974846</v>
      </c>
      <c r="H14" s="109">
        <v>1.0999999999999999E-2</v>
      </c>
      <c r="I14" s="109">
        <v>0.4</v>
      </c>
      <c r="J14" s="80" t="s">
        <v>249</v>
      </c>
    </row>
    <row r="15" spans="1:10" ht="15" customHeight="1" x14ac:dyDescent="0.35">
      <c r="A15" s="67" t="s">
        <v>208</v>
      </c>
      <c r="B15" s="104" t="s">
        <v>209</v>
      </c>
      <c r="C15" s="105">
        <v>99</v>
      </c>
      <c r="D15" s="105">
        <v>4.2</v>
      </c>
      <c r="E15" s="71">
        <f t="shared" si="0"/>
        <v>23.571428571428569</v>
      </c>
      <c r="F15" s="106">
        <v>0.25</v>
      </c>
      <c r="G15" s="71">
        <f t="shared" si="1"/>
        <v>0.94285714285714273</v>
      </c>
      <c r="H15" s="106">
        <v>0</v>
      </c>
      <c r="I15" s="106">
        <v>6.8000000000000005E-2</v>
      </c>
      <c r="J15" s="73" t="s">
        <v>250</v>
      </c>
    </row>
    <row r="16" spans="1:10" ht="15" customHeight="1" x14ac:dyDescent="0.35">
      <c r="A16" s="74" t="s">
        <v>211</v>
      </c>
      <c r="B16" s="107" t="s">
        <v>212</v>
      </c>
      <c r="C16" s="108">
        <v>65</v>
      </c>
      <c r="D16" s="108">
        <v>3.1</v>
      </c>
      <c r="E16" s="78">
        <f t="shared" si="0"/>
        <v>20.967741935483872</v>
      </c>
      <c r="F16" s="109">
        <v>0.45</v>
      </c>
      <c r="G16" s="78">
        <f t="shared" si="1"/>
        <v>0.46594982078853048</v>
      </c>
      <c r="H16" s="109">
        <v>4.0000000000000001E-3</v>
      </c>
      <c r="I16" s="109">
        <v>8.2000000000000003E-2</v>
      </c>
      <c r="J16" s="80" t="s">
        <v>251</v>
      </c>
    </row>
    <row r="17" spans="1:10" ht="15" customHeight="1" x14ac:dyDescent="0.35">
      <c r="A17" s="67" t="s">
        <v>214</v>
      </c>
      <c r="B17" s="104" t="s">
        <v>215</v>
      </c>
      <c r="C17" s="105">
        <v>145</v>
      </c>
      <c r="D17" s="105">
        <v>11.5</v>
      </c>
      <c r="E17" s="71">
        <f t="shared" si="0"/>
        <v>12.608695652173912</v>
      </c>
      <c r="F17" s="106">
        <v>0.08</v>
      </c>
      <c r="G17" s="71">
        <f t="shared" si="1"/>
        <v>1.576086956521739</v>
      </c>
      <c r="H17" s="106">
        <v>2.1999999999999999E-2</v>
      </c>
      <c r="I17" s="106">
        <v>0.27200000000000002</v>
      </c>
      <c r="J17" s="73" t="s">
        <v>252</v>
      </c>
    </row>
    <row r="18" spans="1:10" ht="15" customHeight="1" x14ac:dyDescent="0.35">
      <c r="A18" s="81" t="s">
        <v>217</v>
      </c>
      <c r="B18" s="110" t="s">
        <v>218</v>
      </c>
      <c r="C18" s="111">
        <v>22</v>
      </c>
      <c r="D18" s="111">
        <v>0.55000000000000004</v>
      </c>
      <c r="E18" s="85">
        <f t="shared" si="0"/>
        <v>40</v>
      </c>
      <c r="F18" s="112">
        <v>0.5</v>
      </c>
      <c r="G18" s="85">
        <f t="shared" si="1"/>
        <v>0.8</v>
      </c>
      <c r="H18" s="112">
        <v>0</v>
      </c>
      <c r="I18" s="112">
        <v>1.4999999999999999E-2</v>
      </c>
      <c r="J18" s="87" t="s">
        <v>253</v>
      </c>
    </row>
    <row r="19" spans="1:10" ht="15" customHeight="1" x14ac:dyDescent="0.35">
      <c r="A19" s="88" t="s">
        <v>220</v>
      </c>
      <c r="B19" s="89"/>
      <c r="C19" s="89"/>
      <c r="D19" s="89"/>
      <c r="E19" s="90">
        <f>IFERROR(AVERAGE(E13:E18),"-")</f>
        <v>25.884276633630943</v>
      </c>
      <c r="F19" s="89"/>
      <c r="G19" s="90">
        <f>IFERROR(AVERAGE(G13:G18),"-")</f>
        <v>0.93425198726926739</v>
      </c>
      <c r="H19" s="89"/>
      <c r="I19" s="89"/>
      <c r="J19" s="89"/>
    </row>
    <row r="20" spans="1:10" ht="15" customHeight="1" x14ac:dyDescent="0.35">
      <c r="A20" s="91" t="s">
        <v>221</v>
      </c>
      <c r="B20" s="92"/>
      <c r="C20" s="92"/>
      <c r="D20" s="92"/>
      <c r="E20" s="93">
        <f>IFERROR(MEDIAN(E13:E18),"-")</f>
        <v>24.173101673101669</v>
      </c>
      <c r="F20" s="92"/>
      <c r="G20" s="93">
        <f>IFERROR(MEDIAN(G13:G18),"-")</f>
        <v>0.87142857142857144</v>
      </c>
      <c r="H20" s="92"/>
      <c r="I20" s="92"/>
      <c r="J20" s="92"/>
    </row>
    <row r="21" spans="1:10" ht="15" customHeight="1" x14ac:dyDescent="0.35">
      <c r="A21" s="91" t="s">
        <v>222</v>
      </c>
      <c r="B21" s="92"/>
      <c r="C21" s="92"/>
      <c r="D21" s="92"/>
      <c r="E21" s="93">
        <f>IFERROR(MAX(E13:E18),"-")</f>
        <v>40</v>
      </c>
      <c r="F21" s="92"/>
      <c r="G21" s="93">
        <f>IFERROR(MAX(G13:G18),"-")</f>
        <v>1.576086956521739</v>
      </c>
      <c r="H21" s="92"/>
      <c r="I21" s="92"/>
      <c r="J21" s="92"/>
    </row>
    <row r="22" spans="1:10" ht="15" customHeight="1" x14ac:dyDescent="0.35">
      <c r="A22" s="91" t="s">
        <v>223</v>
      </c>
      <c r="B22" s="92"/>
      <c r="C22" s="92"/>
      <c r="D22" s="92"/>
      <c r="E22" s="93">
        <f>IFERROR(MIN(E13:E18),"-")</f>
        <v>12.608695652173912</v>
      </c>
      <c r="F22" s="92"/>
      <c r="G22" s="93">
        <f>IFERROR(MIN(G13:G18),"-")</f>
        <v>0.46594982078853048</v>
      </c>
      <c r="H22" s="92"/>
      <c r="I22" s="92"/>
      <c r="J22" s="92"/>
    </row>
    <row r="26" spans="1:10" ht="15" customHeight="1" x14ac:dyDescent="0.35">
      <c r="A26" s="133" t="s">
        <v>224</v>
      </c>
      <c r="B26" s="125"/>
      <c r="C26" s="125"/>
      <c r="D26" s="125"/>
      <c r="E26" s="125"/>
    </row>
    <row r="27" spans="1:10" ht="15" customHeight="1" x14ac:dyDescent="0.35">
      <c r="A27" s="59" t="s">
        <v>254</v>
      </c>
      <c r="B27" s="71">
        <f>IFERROR(MEDIAN(E13:E18),0)</f>
        <v>24.173101673101669</v>
      </c>
    </row>
    <row r="28" spans="1:10" ht="15" customHeight="1" x14ac:dyDescent="0.35">
      <c r="A28" s="59" t="s">
        <v>226</v>
      </c>
      <c r="B28" s="79">
        <f>$B$8</f>
        <v>0.2</v>
      </c>
    </row>
    <row r="29" spans="1:10" ht="15" customHeight="1" x14ac:dyDescent="0.35">
      <c r="A29" s="59" t="s">
        <v>255</v>
      </c>
      <c r="B29" s="94">
        <f>B27*(1+B28)</f>
        <v>29.007722007722002</v>
      </c>
    </row>
    <row r="30" spans="1:10" ht="15" customHeight="1" x14ac:dyDescent="0.35">
      <c r="A30" s="59" t="s">
        <v>241</v>
      </c>
      <c r="B30" s="98">
        <f>$B$7</f>
        <v>7.25</v>
      </c>
    </row>
    <row r="31" spans="1:10" ht="15" customHeight="1" x14ac:dyDescent="0.35">
      <c r="A31" s="59" t="s">
        <v>231</v>
      </c>
      <c r="B31" s="97">
        <f>IF(AND(ISNUMBER(B30),B30&gt;0),B29*B30,"N/A")</f>
        <v>210.30598455598451</v>
      </c>
    </row>
    <row r="32" spans="1:10" ht="15" customHeight="1" x14ac:dyDescent="0.35">
      <c r="A32" s="59" t="s">
        <v>17</v>
      </c>
      <c r="B32" s="98">
        <f>$B$9</f>
        <v>181.69</v>
      </c>
    </row>
    <row r="33" spans="1:7" ht="15" customHeight="1" x14ac:dyDescent="0.35">
      <c r="A33" s="59" t="s">
        <v>19</v>
      </c>
      <c r="B33" s="99">
        <f>IF(ISNUMBER(B31),(B31-B32)/B32,"N/A")</f>
        <v>0.15749895181894716</v>
      </c>
    </row>
    <row r="36" spans="1:7" ht="15" customHeight="1" x14ac:dyDescent="0.35">
      <c r="A36" s="133" t="s">
        <v>256</v>
      </c>
      <c r="B36" s="125"/>
      <c r="C36" s="125"/>
      <c r="D36" s="125"/>
      <c r="E36" s="125"/>
      <c r="F36" s="125"/>
      <c r="G36" s="125"/>
    </row>
    <row r="37" spans="1:7" ht="15" customHeight="1" x14ac:dyDescent="0.35">
      <c r="A37" s="64" t="s">
        <v>257</v>
      </c>
    </row>
    <row r="38" spans="1:7" ht="15" customHeight="1" x14ac:dyDescent="0.35">
      <c r="A38" s="100" t="s">
        <v>258</v>
      </c>
      <c r="B38" s="66" t="s">
        <v>235</v>
      </c>
      <c r="C38" s="66" t="s">
        <v>236</v>
      </c>
      <c r="D38" s="66" t="s">
        <v>237</v>
      </c>
      <c r="E38" s="66" t="s">
        <v>238</v>
      </c>
      <c r="F38" s="66" t="s">
        <v>239</v>
      </c>
    </row>
    <row r="39" spans="1:7" ht="15" customHeight="1" x14ac:dyDescent="0.35">
      <c r="A39" s="101">
        <v>20</v>
      </c>
      <c r="B39" s="98">
        <f>IF(ISNUMBER($B$7),10*$B$7*(1+-0.2),"N/A")</f>
        <v>58</v>
      </c>
      <c r="C39" s="98">
        <f>IF(ISNUMBER($B$7),10*$B$7*(1+-0.1),"N/A")</f>
        <v>65.25</v>
      </c>
      <c r="D39" s="102">
        <f>IF(ISNUMBER($B$7),10*$B$7*(1+0),"N/A")</f>
        <v>72.5</v>
      </c>
      <c r="E39" s="98">
        <f>IF(ISNUMBER($B$7),10*$B$7*(1+0.1),"N/A")</f>
        <v>79.75</v>
      </c>
      <c r="F39" s="98">
        <f>IF(ISNUMBER($B$7),10*$B$7*(1+0.2),"N/A")</f>
        <v>87</v>
      </c>
    </row>
    <row r="40" spans="1:7" ht="15" customHeight="1" x14ac:dyDescent="0.35">
      <c r="A40" s="101">
        <v>25</v>
      </c>
      <c r="B40" s="103">
        <f>IF(ISNUMBER($B$7),15*$B$7*(1+-0.2),"N/A")</f>
        <v>87</v>
      </c>
      <c r="C40" s="103">
        <f>IF(ISNUMBER($B$7),15*$B$7*(1+-0.1),"N/A")</f>
        <v>97.875</v>
      </c>
      <c r="D40" s="102">
        <f>IF(ISNUMBER($B$7),15*$B$7*(1+0),"N/A")</f>
        <v>108.75</v>
      </c>
      <c r="E40" s="103">
        <f>IF(ISNUMBER($B$7),15*$B$7*(1+0.1),"N/A")</f>
        <v>119.62500000000001</v>
      </c>
      <c r="F40" s="103">
        <f>IF(ISNUMBER($B$7),15*$B$7*(1+0.2),"N/A")</f>
        <v>130.5</v>
      </c>
    </row>
    <row r="41" spans="1:7" ht="15" customHeight="1" x14ac:dyDescent="0.35">
      <c r="A41" s="101">
        <v>30</v>
      </c>
      <c r="B41" s="98">
        <f>IF(ISNUMBER($B$7),20*$B$7*(1+-0.2),"N/A")</f>
        <v>116</v>
      </c>
      <c r="C41" s="98">
        <f>IF(ISNUMBER($B$7),20*$B$7*(1+-0.1),"N/A")</f>
        <v>130.5</v>
      </c>
      <c r="D41" s="102">
        <f>IF(ISNUMBER($B$7),20*$B$7*(1+0),"N/A")</f>
        <v>145</v>
      </c>
      <c r="E41" s="98">
        <f>IF(ISNUMBER($B$7),20*$B$7*(1+0.1),"N/A")</f>
        <v>159.5</v>
      </c>
      <c r="F41" s="98">
        <f>IF(ISNUMBER($B$7),20*$B$7*(1+0.2),"N/A")</f>
        <v>174</v>
      </c>
    </row>
    <row r="42" spans="1:7" ht="15" customHeight="1" x14ac:dyDescent="0.35">
      <c r="A42" s="101">
        <v>35</v>
      </c>
      <c r="B42" s="103">
        <f>IF(ISNUMBER($B$7),25*$B$7*(1+-0.2),"N/A")</f>
        <v>145</v>
      </c>
      <c r="C42" s="103">
        <f>IF(ISNUMBER($B$7),25*$B$7*(1+-0.1),"N/A")</f>
        <v>163.125</v>
      </c>
      <c r="D42" s="102">
        <f>IF(ISNUMBER($B$7),25*$B$7*(1+0),"N/A")</f>
        <v>181.25</v>
      </c>
      <c r="E42" s="103">
        <f>IF(ISNUMBER($B$7),25*$B$7*(1+0.1),"N/A")</f>
        <v>199.37500000000003</v>
      </c>
      <c r="F42" s="103">
        <f>IF(ISNUMBER($B$7),25*$B$7*(1+0.2),"N/A")</f>
        <v>217.5</v>
      </c>
    </row>
    <row r="43" spans="1:7" ht="15" customHeight="1" x14ac:dyDescent="0.35">
      <c r="A43" s="101">
        <v>40</v>
      </c>
      <c r="B43" s="98">
        <f>IF(ISNUMBER($B$7),30*$B$7*(1+-0.2),"N/A")</f>
        <v>174</v>
      </c>
      <c r="C43" s="98">
        <f>IF(ISNUMBER($B$7),30*$B$7*(1+-0.1),"N/A")</f>
        <v>195.75</v>
      </c>
      <c r="D43" s="102">
        <f>IF(ISNUMBER($B$7),30*$B$7*(1+0),"N/A")</f>
        <v>217.5</v>
      </c>
      <c r="E43" s="98">
        <f>IF(ISNUMBER($B$7),30*$B$7*(1+0.1),"N/A")</f>
        <v>239.25000000000003</v>
      </c>
      <c r="F43" s="98">
        <f>IF(ISNUMBER($B$7),30*$B$7*(1+0.2),"N/A")</f>
        <v>261</v>
      </c>
    </row>
    <row r="44" spans="1:7" ht="15" customHeight="1" x14ac:dyDescent="0.35">
      <c r="A44" s="101">
        <v>45</v>
      </c>
      <c r="B44" s="103">
        <f>IF(ISNUMBER($B$7),35*$B$7*(1+-0.2),"N/A")</f>
        <v>203</v>
      </c>
      <c r="C44" s="103">
        <f>IF(ISNUMBER($B$7),35*$B$7*(1+-0.1),"N/A")</f>
        <v>228.375</v>
      </c>
      <c r="D44" s="102">
        <f>IF(ISNUMBER($B$7),35*$B$7*(1+0),"N/A")</f>
        <v>253.75</v>
      </c>
      <c r="E44" s="103">
        <f>IF(ISNUMBER($B$7),35*$B$7*(1+0.1),"N/A")</f>
        <v>279.125</v>
      </c>
      <c r="F44" s="103">
        <f>IF(ISNUMBER($B$7),35*$B$7*(1+0.2),"N/A")</f>
        <v>304.5</v>
      </c>
    </row>
    <row r="45" spans="1:7" ht="15" customHeight="1" x14ac:dyDescent="0.35">
      <c r="A45" s="101">
        <v>50</v>
      </c>
      <c r="B45" s="98">
        <f>IF(ISNUMBER($B$7),40*$B$7*(1+-0.2),"N/A")</f>
        <v>232</v>
      </c>
      <c r="C45" s="98">
        <f>IF(ISNUMBER($B$7),40*$B$7*(1+-0.1),"N/A")</f>
        <v>261</v>
      </c>
      <c r="D45" s="102">
        <f>IF(ISNUMBER($B$7),40*$B$7*(1+0),"N/A")</f>
        <v>290</v>
      </c>
      <c r="E45" s="98">
        <f>IF(ISNUMBER($B$7),40*$B$7*(1+0.1),"N/A")</f>
        <v>319</v>
      </c>
      <c r="F45" s="98">
        <f>IF(ISNUMBER($B$7),40*$B$7*(1+0.2),"N/A")</f>
        <v>348</v>
      </c>
    </row>
  </sheetData>
  <mergeCells count="7">
    <mergeCell ref="A36:G36"/>
    <mergeCell ref="A1:J1"/>
    <mergeCell ref="A26:E26"/>
    <mergeCell ref="A5:E5"/>
    <mergeCell ref="A2:J2"/>
    <mergeCell ref="B6:D6"/>
    <mergeCell ref="A11:J1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6"/>
  <sheetViews>
    <sheetView showGridLines="0" zoomScaleNormal="100" workbookViewId="0">
      <selection activeCell="E40" sqref="E40"/>
    </sheetView>
  </sheetViews>
  <sheetFormatPr defaultColWidth="8.6328125" defaultRowHeight="14.5" x14ac:dyDescent="0.35"/>
  <cols>
    <col min="1" max="1" width="31.81640625" customWidth="1"/>
    <col min="2" max="2" width="16" customWidth="1"/>
    <col min="3" max="3" width="10.26953125" customWidth="1"/>
    <col min="4" max="4" width="18.54296875" customWidth="1"/>
    <col min="5" max="5" width="72.08984375" customWidth="1"/>
  </cols>
  <sheetData>
    <row r="1" spans="1:5" ht="18" customHeight="1" x14ac:dyDescent="0.35">
      <c r="A1" s="134" t="s">
        <v>0</v>
      </c>
      <c r="B1" s="125"/>
      <c r="C1" s="125"/>
      <c r="D1" s="125"/>
      <c r="E1" s="125"/>
    </row>
    <row r="2" spans="1:5" ht="15" customHeight="1" x14ac:dyDescent="0.35">
      <c r="A2" s="132" t="s">
        <v>1</v>
      </c>
      <c r="B2" s="125"/>
      <c r="C2" s="125"/>
      <c r="D2" s="125"/>
      <c r="E2" s="125"/>
    </row>
    <row r="4" spans="1:5" ht="15" customHeight="1" x14ac:dyDescent="0.35">
      <c r="A4" s="133" t="s">
        <v>2</v>
      </c>
      <c r="B4" s="125"/>
      <c r="C4" s="125"/>
      <c r="D4" s="125"/>
      <c r="E4" s="125"/>
    </row>
    <row r="5" spans="1:5" ht="15" customHeight="1" x14ac:dyDescent="0.35">
      <c r="A5" s="66" t="s">
        <v>3</v>
      </c>
      <c r="B5" s="66" t="s">
        <v>4</v>
      </c>
      <c r="C5" s="66" t="s">
        <v>5</v>
      </c>
      <c r="D5" s="66" t="s">
        <v>6</v>
      </c>
      <c r="E5" s="66" t="s">
        <v>7</v>
      </c>
    </row>
    <row r="6" spans="1:5" ht="15" customHeight="1" x14ac:dyDescent="0.35">
      <c r="A6" s="59" t="s">
        <v>8</v>
      </c>
      <c r="B6" s="108">
        <v>220</v>
      </c>
      <c r="C6" s="113">
        <v>0.33400000000000002</v>
      </c>
      <c r="D6" s="98">
        <f>IF(ISNUMBER(B6),B6*C6,0)</f>
        <v>73.48</v>
      </c>
      <c r="E6" s="80" t="s">
        <v>9</v>
      </c>
    </row>
    <row r="7" spans="1:5" ht="15" customHeight="1" x14ac:dyDescent="0.35">
      <c r="A7" s="59" t="s">
        <v>10</v>
      </c>
      <c r="B7" s="114">
        <f>'EV-EBITDA Comps'!B37</f>
        <v>256.31016863193281</v>
      </c>
      <c r="C7" s="113">
        <v>0.33300000000000002</v>
      </c>
      <c r="D7" s="103">
        <f>IF(ISNUMBER(B7),B7*C7,0)</f>
        <v>85.351286154433637</v>
      </c>
      <c r="E7" s="73" t="s">
        <v>11</v>
      </c>
    </row>
    <row r="8" spans="1:5" ht="15" customHeight="1" x14ac:dyDescent="0.35">
      <c r="A8" s="59" t="s">
        <v>12</v>
      </c>
      <c r="B8" s="115">
        <f>'PE Comps'!B31</f>
        <v>210.30598455598451</v>
      </c>
      <c r="C8" s="113">
        <v>0.33300000000000002</v>
      </c>
      <c r="D8" s="98">
        <f>IF(ISNUMBER(B8),B8*C8,0)</f>
        <v>70.03189285714285</v>
      </c>
      <c r="E8" s="80" t="s">
        <v>13</v>
      </c>
    </row>
    <row r="9" spans="1:5" ht="15" customHeight="1" x14ac:dyDescent="0.35">
      <c r="A9" s="116" t="s">
        <v>14</v>
      </c>
      <c r="C9" s="117">
        <f>SUM(C6:C8)</f>
        <v>1</v>
      </c>
    </row>
    <row r="10" spans="1:5" ht="18" customHeight="1" x14ac:dyDescent="0.35">
      <c r="A10" s="118" t="s">
        <v>15</v>
      </c>
      <c r="B10" s="119"/>
      <c r="C10" s="119"/>
      <c r="D10" s="120">
        <f>IF(C9=1,SUM(D6:D8),"Check weights!")</f>
        <v>228.86317901157651</v>
      </c>
      <c r="E10" s="119"/>
    </row>
    <row r="12" spans="1:5" ht="15" customHeight="1" x14ac:dyDescent="0.35">
      <c r="A12" s="133" t="s">
        <v>16</v>
      </c>
      <c r="B12" s="125"/>
      <c r="C12" s="125"/>
      <c r="D12" s="125"/>
      <c r="E12" s="125"/>
    </row>
    <row r="13" spans="1:5" ht="15" customHeight="1" x14ac:dyDescent="0.35">
      <c r="A13" s="59" t="s">
        <v>17</v>
      </c>
      <c r="B13" s="65">
        <v>181.69</v>
      </c>
    </row>
    <row r="14" spans="1:5" ht="15" customHeight="1" x14ac:dyDescent="0.35">
      <c r="A14" s="59" t="s">
        <v>18</v>
      </c>
      <c r="B14" s="121">
        <f>D10</f>
        <v>228.86317901157651</v>
      </c>
    </row>
    <row r="15" spans="1:5" ht="15" customHeight="1" x14ac:dyDescent="0.35">
      <c r="A15" s="59" t="s">
        <v>19</v>
      </c>
      <c r="B15" s="122">
        <f>IF(ISNUMBER(D10),(D10-B13)/B13,"N/A")</f>
        <v>0.2596355276106363</v>
      </c>
    </row>
    <row r="16" spans="1:5" ht="15" customHeight="1" x14ac:dyDescent="0.35">
      <c r="A16" s="59" t="s">
        <v>20</v>
      </c>
      <c r="B16" s="123" t="s">
        <v>21</v>
      </c>
    </row>
  </sheetData>
  <mergeCells count="4">
    <mergeCell ref="A2:E2"/>
    <mergeCell ref="A1:E1"/>
    <mergeCell ref="A4:E4"/>
    <mergeCell ref="A12:E12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Assumptions</vt:lpstr>
      <vt:lpstr>DCF Model</vt:lpstr>
      <vt:lpstr>Sensitivity</vt:lpstr>
      <vt:lpstr>EV-EBITDA Comps</vt:lpstr>
      <vt:lpstr>PE Comps</vt:lpstr>
      <vt:lpstr>Valuation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Simon Wilson</cp:lastModifiedBy>
  <cp:revision>0</cp:revision>
  <dcterms:created xsi:type="dcterms:W3CDTF">2026-03-07T16:13:42Z</dcterms:created>
  <dcterms:modified xsi:type="dcterms:W3CDTF">2026-03-13T19:42:27Z</dcterms:modified>
  <dc:language>en-US</dc:language>
</cp:coreProperties>
</file>