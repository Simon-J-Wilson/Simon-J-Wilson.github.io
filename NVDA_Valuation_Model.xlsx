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umptions" sheetId="1" state="visible" r:id="rId3"/>
    <sheet name="DCF Model" sheetId="2" state="visible" r:id="rId4"/>
    <sheet name="Sensitivity" sheetId="3" state="visible" r:id="rId5"/>
    <sheet name="EV-EBITDA Comps" sheetId="4" state="visible" r:id="rId6"/>
    <sheet name="PE Comps" sheetId="5" state="visible" r:id="rId7"/>
    <sheet name="Valuation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<sst xmlns="http://schemas.openxmlformats.org/spreadsheetml/2006/main" count="353" uniqueCount="259">
  <si>
    <t xml:space="preserve">Nvidia (NVDA) — DCF Model Assumptions</t>
  </si>
  <si>
    <t xml:space="preserve">Parameter</t>
  </si>
  <si>
    <t xml:space="preserve">Value</t>
  </si>
  <si>
    <t xml:space="preserve">Units</t>
  </si>
  <si>
    <t xml:space="preserve">Notes</t>
  </si>
  <si>
    <t xml:space="preserve">Operating Assumptions</t>
  </si>
  <si>
    <t xml:space="preserve">Base Revenue ($mm)</t>
  </si>
  <si>
    <t xml:space="preserve">$mm</t>
  </si>
  <si>
    <t xml:space="preserve">Source: NVIDIA FY2025 10-K (Jan 2025); revenue 30.5B</t>
  </si>
  <si>
    <t xml:space="preserve">Revenue Growth — Yr 1</t>
  </si>
  <si>
    <t xml:space="preserve">%</t>
  </si>
  <si>
    <t xml:space="preserve">stockanalysis.com</t>
  </si>
  <si>
    <t xml:space="preserve">Revenue Growth — Yr 2</t>
  </si>
  <si>
    <t xml:space="preserve">Revenue Growth — Yr 3</t>
  </si>
  <si>
    <t xml:space="preserve">Revenue Growth — Yr 4</t>
  </si>
  <si>
    <t xml:space="preserve">My Assumption</t>
  </si>
  <si>
    <t xml:space="preserve">Revenue Growth — Yr 5</t>
  </si>
  <si>
    <t xml:space="preserve">Revenue Growth — Yr 6</t>
  </si>
  <si>
    <t xml:space="preserve">Fade: Rubin ramp sustains elevated growth</t>
  </si>
  <si>
    <t xml:space="preserve">Revenue Growth — Yr 7</t>
  </si>
  <si>
    <t xml:space="preserve">Fade: market penetration broadening</t>
  </si>
  <si>
    <t xml:space="preserve">Revenue Growth — Yr 8</t>
  </si>
  <si>
    <t xml:space="preserve">Fade: growth normalizing toward maturity</t>
  </si>
  <si>
    <t xml:space="preserve">Revenue Growth — Yr 9</t>
  </si>
  <si>
    <t xml:space="preserve">Fade: approaching steady-state</t>
  </si>
  <si>
    <t xml:space="preserve">Revenue Growth — Yr 10</t>
  </si>
  <si>
    <t xml:space="preserve">Fade: normalized ~5% — closer to terminal rate</t>
  </si>
  <si>
    <t xml:space="preserve">Terminal Growth Rate</t>
  </si>
  <si>
    <t xml:space="preserve">My assumption based on inevitability of long-term normalization and durable AI demand</t>
  </si>
  <si>
    <t xml:space="preserve">EBIT Margin (Year 1)</t>
  </si>
  <si>
    <t xml:space="preserve">FY2026 actual: ~62.1%. Rev $215.9B (+65% YoY). Gross margin 71.1% compressed by Blackwell ramp costs &amp; $4.5B H20 China inventory charge. Opex ~$23B. Source: NVIDIA FY2026 10-K (Jan 2026).</t>
  </si>
  <si>
    <t xml:space="preserve">EBIT Margin (Year 2)</t>
  </si>
  <si>
    <t xml:space="preserve">Guided/Estimated Q1 FY2027</t>
  </si>
  <si>
    <t xml:space="preserve">EBIT Margin (Year 3)</t>
  </si>
  <si>
    <t xml:space="preserve">Analyst Estimate: Rubin GPU architecture increase in second half of FY2027 and FY2028</t>
  </si>
  <si>
    <t xml:space="preserve">EBIT Margin (Year 4)</t>
  </si>
  <si>
    <t xml:space="preserve">Analyst Estimate: Rubin GPU shoud be in full production; R&amp;D stablizes</t>
  </si>
  <si>
    <t xml:space="preserve">EBIT Margin (Year 5)</t>
  </si>
  <si>
    <t xml:space="preserve">Long ragne estimate</t>
  </si>
  <si>
    <t xml:space="preserve">EBIT Margin (Year 6)</t>
  </si>
  <si>
    <t xml:space="preserve">Sustained at scale; incremental opex vs revenue</t>
  </si>
  <si>
    <t xml:space="preserve">EBIT Margin (Year 7)</t>
  </si>
  <si>
    <t xml:space="preserve">Modest compression: rising R&amp;D for next-gen arch</t>
  </si>
  <si>
    <t xml:space="preserve">EBIT Margin (Year 8)</t>
  </si>
  <si>
    <t xml:space="preserve">Competition from custom ASICs begins to weigh</t>
  </si>
  <si>
    <t xml:space="preserve">EBIT Margin (Year 9)</t>
  </si>
  <si>
    <t xml:space="preserve">Gradual normalization toward mature tech margins</t>
  </si>
  <si>
    <t xml:space="preserve">EBIT Margin (Year 10)</t>
  </si>
  <si>
    <t xml:space="preserve">Terminal-year margin: still well above industry avg</t>
  </si>
  <si>
    <t xml:space="preserve">Tax Rate</t>
  </si>
  <si>
    <t xml:space="preserve">Source: DBS Bank NVIDIA Equity Reaearch</t>
  </si>
  <si>
    <t xml:space="preserve">D&amp;A as % of Revenue</t>
  </si>
  <si>
    <t xml:space="preserve">Source: FY2025 D&amp;A ~.8B / 30.5B revenue = ~1.4% (asset-light model)</t>
  </si>
  <si>
    <t xml:space="preserve">CapEx as % of Revenue</t>
  </si>
  <si>
    <t xml:space="preserve">Source: FY2025 CapEx .24B / 30.5B revenue = 2.5% (fabless model)</t>
  </si>
  <si>
    <t xml:space="preserve">Change in NWC as % of Rev</t>
  </si>
  <si>
    <t xml:space="preserve">Conservative NWC build assumption given rapid revenue scaling</t>
  </si>
  <si>
    <t xml:space="preserve">WACC Assumptions</t>
  </si>
  <si>
    <t xml:space="preserve">Risk-Free Rate</t>
  </si>
  <si>
    <t xml:space="preserve">10yr US Treasury yield ~4.3% (Mar 2026)</t>
  </si>
  <si>
    <t xml:space="preserve">Equity Risk Premium</t>
  </si>
  <si>
    <t xml:space="preserve">Damodaran Jan 2026 ERP estimate</t>
  </si>
  <si>
    <t xml:space="preserve">Beta</t>
  </si>
  <si>
    <t xml:space="preserve">x</t>
  </si>
  <si>
    <t xml:space="preserve">Source: https://www.alphaspread.com/security/nasdaq/nvda/discount-rate</t>
  </si>
  <si>
    <t xml:space="preserve">Cost of Equity</t>
  </si>
  <si>
    <t xml:space="preserve">CAPM: Rf + β×ERP</t>
  </si>
  <si>
    <t xml:space="preserve">Pre-Tax Cost of Debt</t>
  </si>
  <si>
    <t xml:space="preserve">Source: NVIDIA FY2025; LTD .5B, investment-grade issuer</t>
  </si>
  <si>
    <t xml:space="preserve">Equity Weight</t>
  </si>
  <si>
    <t xml:space="preserve">Source: FY2025 D/E ratio ~0.07; near entirely equity-financed</t>
  </si>
  <si>
    <t xml:space="preserve">Debt Weight</t>
  </si>
  <si>
    <t xml:space="preserve">1 - Equity Weight</t>
  </si>
  <si>
    <t xml:space="preserve">WACC</t>
  </si>
  <si>
    <t xml:space="preserve">Kd×(1−t) blended in</t>
  </si>
  <si>
    <t xml:space="preserve">Terminal Value Assumptions</t>
  </si>
  <si>
    <t xml:space="preserve">Above-GDP given AI infrastructure secular growth trend</t>
  </si>
  <si>
    <t xml:space="preserve">EV/EBIT Exit Multiple</t>
  </si>
  <si>
    <t xml:space="preserve">Year 10 exit; 28x EBIT reflects mature AI platform premium (cross-check)</t>
  </si>
  <si>
    <t xml:space="preserve">Terminal Year EBITDA Mult</t>
  </si>
  <si>
    <t xml:space="preserve">High multiple reflecting AI leadership premium</t>
  </si>
  <si>
    <t xml:space="preserve">Balance Sheet Inputs</t>
  </si>
  <si>
    <t xml:space="preserve">Total Debt ($mm)</t>
  </si>
  <si>
    <t xml:space="preserve">Source: NVIDIA FY2025 balance sheet; long-term debt .5B</t>
  </si>
  <si>
    <t xml:space="preserve">Cash &amp; Equivalents ($mm)</t>
  </si>
  <si>
    <t xml:space="preserve">Source: NVIDIA FY2025 balance sheet; cash &amp; equivalents 5.2B</t>
  </si>
  <si>
    <t xml:space="preserve">Diluted Shares Out. (mm)</t>
  </si>
  <si>
    <t xml:space="preserve">mm</t>
  </si>
  <si>
    <t xml:space="preserve">Source: Diluted shares outstanding ~24.5B (Oct 2025 10-Q)</t>
  </si>
  <si>
    <t xml:space="preserve">Current Share Price</t>
  </si>
  <si>
    <t xml:space="preserve">$</t>
  </si>
  <si>
    <t xml:space="preserve">Source: NVDA closing price Mar 7, 2026</t>
  </si>
  <si>
    <t xml:space="preserve">Discounted Cash Flow Model</t>
  </si>
  <si>
    <t xml:space="preserve">All figures in  unless noted  |  Blue = hardcoded input  |  Black = formula  |  10-Year forecast with Gordon Growth + Exit Multiple terminal values</t>
  </si>
  <si>
    <t xml:space="preserve">()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</si>
  <si>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</si>
  <si>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</si>
  <si>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</si>
  <si>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</si>
  <si>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</si>
  <si>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</si>
  <si>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</si>
  <si>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</si>
  <si>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</si>
  <si>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</si>
  <si>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</si>
  <si>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Terminal</t>
  </si>
  <si>
    <t xml:space="preserve">Revenue Build</t>
  </si>
  <si>
    <t xml:space="preserve">Revenue</t>
  </si>
  <si>
    <t xml:space="preserve">  Growth Rate</t>
  </si>
  <si>
    <t xml:space="preserve">Income Statement &amp; Free Cash Flow</t>
  </si>
  <si>
    <t xml:space="preserve">  EBIT Margin</t>
  </si>
  <si>
    <t xml:space="preserve">  EBIT</t>
  </si>
  <si>
    <t xml:space="preserve">  (-) Taxes</t>
  </si>
  <si>
    <t xml:space="preserve">NOPAT</t>
  </si>
  <si>
    <t xml:space="preserve">  (+) D&amp;A</t>
  </si>
  <si>
    <t xml:space="preserve">  (-) CapEx</t>
  </si>
  <si>
    <t xml:space="preserve">  (-) Change in NWC</t>
  </si>
  <si>
    <t xml:space="preserve">Free Cash Flow</t>
  </si>
  <si>
    <t xml:space="preserve">Discounted Cash Flow</t>
  </si>
  <si>
    <t xml:space="preserve">Discount Factor (WACC)</t>
  </si>
  <si>
    <t xml:space="preserve">PV of FCF</t>
  </si>
  <si>
    <t xml:space="preserve">Terminal Value</t>
  </si>
  <si>
    <t xml:space="preserve">Method 1 — Gordon Growth (perpetuity)</t>
  </si>
  <si>
    <t xml:space="preserve">  Terminal FCF</t>
  </si>
  <si>
    <t xml:space="preserve">  PV of Terminal Value (GG)</t>
  </si>
  <si>
    <t xml:space="preserve">  TV as % of Total EV (GG)</t>
  </si>
  <si>
    <t xml:space="preserve">Method 2 — Exit Multiple (EV/EBIT)</t>
  </si>
  <si>
    <t xml:space="preserve">  Terminal Value (Exit Multiple)</t>
  </si>
  <si>
    <t xml:space="preserve">  PV of Terminal Value (Exit)</t>
  </si>
  <si>
    <t xml:space="preserve">  TV as % of Total EV (Exit)</t>
  </si>
  <si>
    <t xml:space="preserve">Valuation Summary</t>
  </si>
  <si>
    <t xml:space="preserve">Method →</t>
  </si>
  <si>
    <t xml:space="preserve">Gordon Growth</t>
  </si>
  <si>
    <t xml:space="preserve">Exit Multiple</t>
  </si>
  <si>
    <t xml:space="preserve">Sum of PV(FCFs)</t>
  </si>
  <si>
    <t xml:space="preserve">PV of Terminal Value</t>
  </si>
  <si>
    <t xml:space="preserve">Enterprise Value</t>
  </si>
  <si>
    <t xml:space="preserve">(-) Total Debt</t>
  </si>
  <si>
    <t xml:space="preserve">(+) Cash &amp; Equivalents</t>
  </si>
  <si>
    <t xml:space="preserve">Equity Value</t>
  </si>
  <si>
    <t xml:space="preserve">Diluted Shares Outstanding (mm)</t>
  </si>
  <si>
    <t xml:space="preserve">Implied Share Price</t>
  </si>
  <si>
    <t xml:space="preserve">Implied Upside / (Downside)</t>
  </si>
  <si>
    <t xml:space="preserve">Footnotes</t>
  </si>
  <si>
    <t xml:space="preserve">Our 10-year discounted cash flow analysis yields an implied share price range of $155–$285, bracketing the current market price of $181.69. The lower bound is derived from a Gordon Growth terminal value assuming a 2.75% perpetuity growth rate and a 10.4% WACC; the upper bound applies a 28x EV/EBIT exit multiple to Year 10 (FY2035) operating income. Revenue projections reflect actual FY2026 results ($215.9B, +65% YoY) and consensus estimates through FY2028, fading to 5% growth by FY2035 as the AI infrastructure build-out matures. EBIT margins are anchored to the FY2026 reported figure of 62.1%, with modest expansion to 65% at peak before compressing to 61% in the terminal year to reflect increasing R&amp;D intensity and competitive pressure from custom silicon.</t>
  </si>
  <si>
    <t xml:space="preserve">The $130 spread between the two methods is not a modelling inconsistency — it is a direct consequence of the scale of Nvidia's cash generation by Year 10. With free cash flow of ~$412B in the terminal year, the Gordon Growth method is acutely sensitive to the WACC−g spread: at 10.4% WACC and 2.75% terminal growth, the denominator is only 7.65%, meaning a 50 basis point change in either assumption moves the implied price by approximately $20–$30. This mathematical fragility makes Gordon Growth an unreliable standalone anchor for a company of Nvidia's size and growth profile. The exit multiple method avoids this sensitivity by grounding terminal value in observable market comparables — specifically, where mature large-cap technology platforms trade on an EBIT basis — but introduces its own subjectivity in multiple selection. A 28x exit multiple reflects Nvidia's durable competitive moat via CUDA and its data center ecosystem; a more conservative 20–22x, appropriate if competitive erosion from custom ASICs accelerates, would imply a price of approximately $195–$215. On balance, we view the exit multiple as the more reliable anchor, and note that both methods converge on fair-to-modest undervaluation at current levels when conservative assumptions are applied.</t>
  </si>
  <si>
    <t xml:space="preserve">Sensitivity Analysis — Implied Share Price (Gordon Growth)</t>
  </si>
  <si>
    <t xml:space="preserve">Implied Share Price by WACC &amp; Terminal Growth Rate (10-Year Model)</t>
  </si>
  <si>
    <t xml:space="preserve">WACC →</t>
  </si>
  <si>
    <t xml:space="preserve">TGR ↓</t>
  </si>
  <si>
    <t xml:space="preserve">Sensitivity Analysis — Implied Share Price (Exit Multiple)</t>
  </si>
  <si>
    <t xml:space="preserve">Implied Share Price by WACC &amp; EV/EBIT Exit Multiple (10-Year Model)</t>
  </si>
  <si>
    <t xml:space="preserve">18x</t>
  </si>
  <si>
    <t xml:space="preserve">22x</t>
  </si>
  <si>
    <t xml:space="preserve">26x</t>
  </si>
  <si>
    <t xml:space="preserve">28x</t>
  </si>
  <si>
    <t xml:space="preserve">32x</t>
  </si>
  <si>
    <t xml:space="preserve">36x</t>
  </si>
  <si>
    <t xml:space="preserve">Mult ↓</t>
  </si>
  <si>
    <t xml:space="preserve">EV / EBITDA COMPARABLE COMPANY ANALYSIS</t>
  </si>
  <si>
    <t xml:space="preserve">NVIDIA Corporation (NVDA)  |  Equity Research Valuation Model</t>
  </si>
  <si>
    <t xml:space="preserve">Color Legend:</t>
  </si>
  <si>
    <t xml:space="preserve">Blue = Input</t>
  </si>
  <si>
    <t xml:space="preserve">Black = Formula</t>
  </si>
  <si>
    <t xml:space="preserve">SUBJECT COMPANY INPUTS</t>
  </si>
  <si>
    <t xml:space="preserve">Subject Company Name</t>
  </si>
  <si>
    <t xml:space="preserve">NVIDIA Corporation (NVDA)</t>
  </si>
  <si>
    <t xml:space="preserve">NTM EBITDA ($M)</t>
  </si>
  <si>
    <t xml:space="preserve">Applied Multiple Premium/Disc</t>
  </si>
  <si>
    <t xml:space="preserve">Premium (+) or discount (-) to peer median</t>
  </si>
  <si>
    <t xml:space="preserve">Net Debt / (Cash) ($M)</t>
  </si>
  <si>
    <t xml:space="preserve">Shares Outstanding (M)</t>
  </si>
  <si>
    <t xml:space="preserve">Current Stock Price ($)</t>
  </si>
  <si>
    <t xml:space="preserve">PEER GROUP</t>
  </si>
  <si>
    <t xml:space="preserve">Company</t>
  </si>
  <si>
    <t xml:space="preserve">Ticker</t>
  </si>
  <si>
    <t xml:space="preserve">Market Cap ($M)</t>
  </si>
  <si>
    <t xml:space="preserve">Net Debt ($M)</t>
  </si>
  <si>
    <t xml:space="preserve">EV ($M)</t>
  </si>
  <si>
    <t xml:space="preserve">NTM Revenue ($M)</t>
  </si>
  <si>
    <t xml:space="preserve">EV/Revenue (NTM)</t>
  </si>
  <si>
    <t xml:space="preserve">EV/EBITDA (NTM)</t>
  </si>
  <si>
    <t xml:space="preserve">NTM EBITDA Margin</t>
  </si>
  <si>
    <t xml:space="preserve">Broadcom Inc.</t>
  </si>
  <si>
    <t xml:space="preserve">AVGO</t>
  </si>
  <si>
    <t xml:space="preserve">AI custom silicon + VMware software; EV/EBITDA ~44x TTM</t>
  </si>
  <si>
    <t xml:space="preserve">Taiwan Semiconductor Mfg.</t>
  </si>
  <si>
    <t xml:space="preserve">TSM</t>
  </si>
  <si>
    <t xml:space="preserve">World largest foundry; NVDA primary fab partner; 72% EBITDA margin</t>
  </si>
  <si>
    <t xml:space="preserve">Advanced Micro Devices</t>
  </si>
  <si>
    <t xml:space="preserve">AMD</t>
  </si>
  <si>
    <t xml:space="preserve">Primary GPU competitor; data center growing 22% YoY</t>
  </si>
  <si>
    <t xml:space="preserve">Marvell Technology</t>
  </si>
  <si>
    <t xml:space="preserve">MRVL</t>
  </si>
  <si>
    <t xml:space="preserve">Custom AI ASIC for hyperscalers; high-growth emerging peer</t>
  </si>
  <si>
    <t xml:space="preserve">Qualcomm Inc.</t>
  </si>
  <si>
    <t xml:space="preserve">QCOM</t>
  </si>
  <si>
    <t xml:space="preserve">Diversified semi; mobile/edge AI; lower growth vs AI peers</t>
  </si>
  <si>
    <t xml:space="preserve">Intel Corporation</t>
  </si>
  <si>
    <t xml:space="preserve">INTC</t>
  </si>
  <si>
    <t xml:space="preserve">Turnaround story; foundry + legacy CPU; structurally challenged</t>
  </si>
  <si>
    <t xml:space="preserve">Peer Mean</t>
  </si>
  <si>
    <t xml:space="preserve">Peer Median</t>
  </si>
  <si>
    <t xml:space="preserve">Peer High</t>
  </si>
  <si>
    <t xml:space="preserve">Peer Low</t>
  </si>
  <si>
    <t xml:space="preserve">VALUATION OUTPUT</t>
  </si>
  <si>
    <t xml:space="preserve">Peer Median EV/EBITDA</t>
  </si>
  <si>
    <t xml:space="preserve">Applied Premium / (Discount)</t>
  </si>
  <si>
    <t xml:space="preserve">Applied EV/EBITDA Multiple</t>
  </si>
  <si>
    <t xml:space="preserve">Implied Enterprise Value ($M)</t>
  </si>
  <si>
    <t xml:space="preserve">Less: Net Debt ($M)</t>
  </si>
  <si>
    <t xml:space="preserve">Implied Equity Value ($M)</t>
  </si>
  <si>
    <t xml:space="preserve">Implied Share Price ($)</t>
  </si>
  <si>
    <t xml:space="preserve">SENSITIVITY — Implied Price vs. EV/EBITDA Multiple &amp; EBITDA</t>
  </si>
  <si>
    <t xml:space="preserve">Implied Share Price ($) — rows = applied EV/EBITDA multiple, cols = NTM EBITDA ($M)</t>
  </si>
  <si>
    <t xml:space="preserve">Multiple →  /  EBITDA % chg ↓</t>
  </si>
  <si>
    <t xml:space="preserve">-20%</t>
  </si>
  <si>
    <t xml:space="preserve">-10%</t>
  </si>
  <si>
    <t xml:space="preserve">+0%</t>
  </si>
  <si>
    <t xml:space="preserve">+10%</t>
  </si>
  <si>
    <t xml:space="preserve">+20%</t>
  </si>
  <si>
    <t xml:space="preserve">P / E COMPARABLE COMPANY ANALYSIS</t>
  </si>
  <si>
    <t xml:space="preserve">NTM EPS ($)</t>
  </si>
  <si>
    <t xml:space="preserve">Stock Price ($)</t>
  </si>
  <si>
    <t xml:space="preserve">P/E (NTM)</t>
  </si>
  <si>
    <t xml:space="preserve">EPS Growth (NTM)</t>
  </si>
  <si>
    <t xml:space="preserve">PEG Ratio</t>
  </si>
  <si>
    <t xml:space="preserve">Dividend Yield</t>
  </si>
  <si>
    <t xml:space="preserve">Net Margin</t>
  </si>
  <si>
    <t xml:space="preserve">Fwd P/E ~25x; AI custom chip + software mix</t>
  </si>
  <si>
    <t xml:space="preserve">Fwd P/E ~33x; foundry premium; 30% EPS growth</t>
  </si>
  <si>
    <t xml:space="preserve">Fwd P/E ~24x; turnaround in data center GPU</t>
  </si>
  <si>
    <t xml:space="preserve">High growth custom ASIC; expanding margins</t>
  </si>
  <si>
    <t xml:space="preserve">Lower growth; diversified mobile + auto + IoT</t>
  </si>
  <si>
    <t xml:space="preserve">Deep turnaround; EPS recovering from near zero</t>
  </si>
  <si>
    <t xml:space="preserve">Peer Median P/E (NTM)</t>
  </si>
  <si>
    <t xml:space="preserve">Applied P/E Multiple</t>
  </si>
  <si>
    <t xml:space="preserve">SENSITIVITY — Implied Price vs. P/E Multiple &amp; NTM EPS</t>
  </si>
  <si>
    <t xml:space="preserve">Implied Share Price ($) — rows = applied P/E multiple, cols = NTM EPS variation</t>
  </si>
  <si>
    <t xml:space="preserve">P/E →  /  EPS % chg ↓</t>
  </si>
  <si>
    <t xml:space="preserve">VALUATION SUMMARY — BLENDED PRICE TARGET</t>
  </si>
  <si>
    <t xml:space="preserve">BLENDED PRICE TARGET BRIDGE</t>
  </si>
  <si>
    <t xml:space="preserve">Valuation Method</t>
  </si>
  <si>
    <t xml:space="preserve">Implied Price ($)</t>
  </si>
  <si>
    <t xml:space="preserve">Weighting</t>
  </si>
  <si>
    <t xml:space="preserve">Weighted Value ($)</t>
  </si>
  <si>
    <t xml:space="preserve">DCF</t>
  </si>
  <si>
    <t xml:space="preserve">DCF midpoint: GG 55 / Exit Multiple 85; blended ~20 (see NVDA_DCF_v2.xlsx)</t>
  </si>
  <si>
    <t xml:space="preserve">EV/EBITDA Comps</t>
  </si>
  <si>
    <t xml:space="preserve">Based on NTM EBITDA 32B and peer median EV/EBITDA applied with 15% AI premium</t>
  </si>
  <si>
    <t xml:space="preserve">P/E Comps</t>
  </si>
  <si>
    <t xml:space="preserve">Based on NTM EPS .30 and peer median P/E applied with 20% AI leadership premium</t>
  </si>
  <si>
    <t xml:space="preserve">Weight Check (must = 100%)</t>
  </si>
  <si>
    <t xml:space="preserve">BLENDED PRICE TARGET ($)</t>
  </si>
  <si>
    <t xml:space="preserve">UPSIDE / (DOWNSIDE) SUMMARY</t>
  </si>
  <si>
    <t xml:space="preserve">Blended Price Target ($)</t>
  </si>
  <si>
    <t xml:space="preserve">Rating</t>
  </si>
  <si>
    <t xml:space="preserve">BUY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</si>
</sst>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\(#,##0\);\-"/>
    <numFmt numFmtId="166" formatCode="0.00%;\(0.00%\);\-"/>
    <numFmt numFmtId="167" formatCode="0.0%;\(0.0%\);\-"/>
    <numFmt numFmtId="168" formatCode="0.00"/>
    <numFmt numFmtId="169" formatCode="0.0\x"/>
    <numFmt numFmtId="170" formatCode="\$#,##0.00"/>
    <numFmt numFmtId="171" formatCode="0.00%"/>
    <numFmt numFmtId="172" formatCode="0%"/>
    <numFmt numFmtId="173" formatCode="#,##0"/>
    <numFmt numFmtId="174" formatCode="0.0%"/>
    <numFmt numFmtId="175" formatCode="@"/>
    <numFmt numFmtId="176" formatCode="#,##0.00"/>
    <numFmt numFmtId="177" formatCode="\$#,##0"/>
    <numFmt numFmtId="178" formatCode="\$#,##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6"/>
      <color rgb="FF1F3864"/>
      <name val="Arial"/>
      <family val="2"/>
      <charset val="1"/>
    </font>
    <font>
      <sz val="1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C9A84C"/>
      <name val="Arial"/>
      <family val="2"/>
      <charset val="1"/>
    </font>
    <font>
      <i val="true"/>
      <sz val="9"/>
      <color rgb="FF888888"/>
      <name val="Arial"/>
      <family val="2"/>
      <charset val="1"/>
    </font>
    <font>
      <b val="true"/>
      <sz val="8"/>
      <color rgb="FF404040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1"/>
      <color rgb="FFC9A84C"/>
      <name val="Arial"/>
      <family val="2"/>
      <charset val="1"/>
    </font>
    <font>
      <sz val="9"/>
      <color rgb="FF404040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8"/>
      <color rgb="FF888888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D1321"/>
      <name val="Arial"/>
      <family val="2"/>
      <charset val="1"/>
    </font>
    <font>
      <sz val="10"/>
      <color rgb="FF008000"/>
      <name val="Arial"/>
      <family val="0"/>
      <charset val="1"/>
    </font>
    <font>
      <b val="true"/>
      <sz val="9"/>
      <color rgb="FF404040"/>
      <name val="Arial"/>
      <family val="2"/>
      <charset val="1"/>
    </font>
    <font>
      <b val="true"/>
      <sz val="9"/>
      <color rgb="FF008000"/>
      <name val="Arial"/>
      <family val="2"/>
      <charset val="1"/>
    </font>
    <font>
      <b val="true"/>
      <sz val="11"/>
      <color rgb="FF375623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E2D4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6EE"/>
      </patternFill>
    </fill>
    <fill>
      <patternFill patternType="solid">
        <fgColor rgb="FFFFFFFF"/>
        <bgColor rgb="FFF9F6EE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833C00"/>
        <bgColor rgb="FF993366"/>
      </patternFill>
    </fill>
    <fill>
      <patternFill patternType="solid">
        <fgColor rgb="FF0D1321"/>
        <bgColor rgb="FF000000"/>
      </patternFill>
    </fill>
    <fill>
      <patternFill patternType="solid">
        <fgColor rgb="FFFFF8E7"/>
        <bgColor rgb="FFF9F6EE"/>
      </patternFill>
    </fill>
    <fill>
      <patternFill patternType="solid">
        <fgColor rgb="FF1E2D47"/>
        <bgColor rgb="FF1F3864"/>
      </patternFill>
    </fill>
    <fill>
      <patternFill patternType="solid">
        <fgColor rgb="FFF9F6EE"/>
        <bgColor rgb="FFFFF8E7"/>
      </patternFill>
    </fill>
    <fill>
      <patternFill patternType="solid">
        <fgColor rgb="FFD9D9D9"/>
        <bgColor rgb="FFD9E1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9F6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D1321"/>
      <rgbColor rgb="FF1E2D47"/>
      <rgbColor rgb="FF833C00"/>
      <rgbColor rgb="FF993366"/>
      <rgbColor rgb="FF37562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B44" activeCellId="0" sqref="B4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71.86"/>
  </cols>
  <sheetData>
    <row r="1" customFormat="false" ht="30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4"/>
      <c r="C4" s="4"/>
      <c r="D4" s="4"/>
    </row>
    <row r="5" customFormat="false" ht="15" hidden="false" customHeight="true" outlineLevel="0" collapsed="false">
      <c r="A5" s="5" t="s">
        <v>6</v>
      </c>
      <c r="B5" s="6" t="n">
        <v>130497</v>
      </c>
      <c r="C5" s="7" t="s">
        <v>7</v>
      </c>
      <c r="D5" s="8" t="s">
        <v>8</v>
      </c>
    </row>
    <row r="6" customFormat="false" ht="15" hidden="false" customHeight="true" outlineLevel="0" collapsed="false">
      <c r="A6" s="9" t="s">
        <v>9</v>
      </c>
      <c r="B6" s="10" t="n">
        <v>0.6547</v>
      </c>
      <c r="C6" s="11" t="s">
        <v>10</v>
      </c>
      <c r="D6" s="12" t="s">
        <v>11</v>
      </c>
    </row>
    <row r="7" customFormat="false" ht="15" hidden="false" customHeight="true" outlineLevel="0" collapsed="false">
      <c r="A7" s="8" t="s">
        <v>12</v>
      </c>
      <c r="B7" s="13" t="n">
        <v>0.6704</v>
      </c>
      <c r="C7" s="7" t="s">
        <v>10</v>
      </c>
      <c r="D7" s="8" t="s">
        <v>11</v>
      </c>
    </row>
    <row r="8" customFormat="false" ht="15" hidden="false" customHeight="true" outlineLevel="0" collapsed="false">
      <c r="A8" s="9" t="s">
        <v>13</v>
      </c>
      <c r="B8" s="10" t="n">
        <v>0.2967</v>
      </c>
      <c r="C8" s="14" t="s">
        <v>10</v>
      </c>
      <c r="D8" s="15" t="s">
        <v>11</v>
      </c>
      <c r="G8" s="16"/>
    </row>
    <row r="9" customFormat="false" ht="15" hidden="false" customHeight="true" outlineLevel="0" collapsed="false">
      <c r="A9" s="8" t="s">
        <v>14</v>
      </c>
      <c r="B9" s="13" t="n">
        <v>0.15</v>
      </c>
      <c r="C9" s="7" t="s">
        <v>10</v>
      </c>
      <c r="D9" s="8" t="s">
        <v>15</v>
      </c>
    </row>
    <row r="10" customFormat="false" ht="15" hidden="false" customHeight="true" outlineLevel="0" collapsed="false">
      <c r="A10" s="9" t="s">
        <v>16</v>
      </c>
      <c r="B10" s="10" t="n">
        <v>0.11</v>
      </c>
      <c r="C10" s="14" t="s">
        <v>10</v>
      </c>
      <c r="D10" s="12" t="s">
        <v>15</v>
      </c>
    </row>
    <row r="11" customFormat="false" ht="15" hidden="false" customHeight="true" outlineLevel="0" collapsed="false">
      <c r="A11" s="9" t="s">
        <v>17</v>
      </c>
      <c r="B11" s="17" t="n">
        <v>0.09</v>
      </c>
      <c r="C11" s="11" t="s">
        <v>10</v>
      </c>
      <c r="D11" s="12" t="s">
        <v>18</v>
      </c>
    </row>
    <row r="12" customFormat="false" ht="39" hidden="false" customHeight="true" outlineLevel="0" collapsed="false">
      <c r="A12" s="5" t="s">
        <v>19</v>
      </c>
      <c r="B12" s="13" t="n">
        <v>0.08</v>
      </c>
      <c r="C12" s="7" t="s">
        <v>10</v>
      </c>
      <c r="D12" s="8" t="s">
        <v>20</v>
      </c>
    </row>
    <row r="13" customFormat="false" ht="15" hidden="false" customHeight="true" outlineLevel="0" collapsed="false">
      <c r="A13" s="9" t="s">
        <v>21</v>
      </c>
      <c r="B13" s="17" t="n">
        <v>0.07</v>
      </c>
      <c r="C13" s="11" t="s">
        <v>10</v>
      </c>
      <c r="D13" s="12" t="s">
        <v>22</v>
      </c>
    </row>
    <row r="14" customFormat="false" ht="15" hidden="false" customHeight="true" outlineLevel="0" collapsed="false">
      <c r="A14" s="5" t="s">
        <v>23</v>
      </c>
      <c r="B14" s="13" t="n">
        <v>0.06</v>
      </c>
      <c r="C14" s="7" t="s">
        <v>10</v>
      </c>
      <c r="D14" s="8" t="s">
        <v>24</v>
      </c>
    </row>
    <row r="15" customFormat="false" ht="15" hidden="false" customHeight="true" outlineLevel="0" collapsed="false">
      <c r="A15" s="9" t="s">
        <v>25</v>
      </c>
      <c r="B15" s="17" t="n">
        <v>0.05</v>
      </c>
      <c r="C15" s="11" t="s">
        <v>10</v>
      </c>
      <c r="D15" s="12" t="s">
        <v>26</v>
      </c>
    </row>
    <row r="16" customFormat="false" ht="15" hidden="false" customHeight="true" outlineLevel="0" collapsed="false">
      <c r="A16" s="8" t="s">
        <v>27</v>
      </c>
      <c r="B16" s="13" t="n">
        <v>0.0275</v>
      </c>
      <c r="C16" s="7" t="s">
        <v>10</v>
      </c>
      <c r="D16" s="8" t="s">
        <v>28</v>
      </c>
    </row>
    <row r="17" customFormat="false" ht="44.25" hidden="false" customHeight="true" outlineLevel="0" collapsed="false">
      <c r="A17" s="9" t="s">
        <v>29</v>
      </c>
      <c r="B17" s="10" t="n">
        <v>0.621</v>
      </c>
      <c r="C17" s="11" t="s">
        <v>10</v>
      </c>
      <c r="D17" s="18" t="s">
        <v>30</v>
      </c>
    </row>
    <row r="18" customFormat="false" ht="15" hidden="false" customHeight="true" outlineLevel="0" collapsed="false">
      <c r="A18" s="5" t="s">
        <v>31</v>
      </c>
      <c r="B18" s="13" t="n">
        <v>0.63</v>
      </c>
      <c r="C18" s="7" t="s">
        <v>10</v>
      </c>
      <c r="D18" s="8" t="s">
        <v>32</v>
      </c>
    </row>
    <row r="19" customFormat="false" ht="15" hidden="false" customHeight="true" outlineLevel="0" collapsed="false">
      <c r="A19" s="9" t="s">
        <v>33</v>
      </c>
      <c r="B19" s="10" t="n">
        <v>0.64</v>
      </c>
      <c r="C19" s="11" t="s">
        <v>10</v>
      </c>
      <c r="D19" s="12" t="s">
        <v>34</v>
      </c>
    </row>
    <row r="20" customFormat="false" ht="15" hidden="false" customHeight="true" outlineLevel="0" collapsed="false">
      <c r="A20" s="5" t="s">
        <v>35</v>
      </c>
      <c r="B20" s="13" t="n">
        <v>0.65</v>
      </c>
      <c r="C20" s="7" t="s">
        <v>10</v>
      </c>
      <c r="D20" s="8" t="s">
        <v>36</v>
      </c>
    </row>
    <row r="21" customFormat="false" ht="15" hidden="false" customHeight="true" outlineLevel="0" collapsed="false">
      <c r="A21" s="1" t="s">
        <v>37</v>
      </c>
      <c r="B21" s="10" t="n">
        <v>0.65</v>
      </c>
      <c r="C21" s="11" t="s">
        <v>10</v>
      </c>
      <c r="D21" s="12" t="s">
        <v>38</v>
      </c>
    </row>
    <row r="22" customFormat="false" ht="15" hidden="false" customHeight="true" outlineLevel="0" collapsed="false">
      <c r="A22" s="5" t="s">
        <v>39</v>
      </c>
      <c r="B22" s="13" t="n">
        <v>0.65</v>
      </c>
      <c r="C22" s="7" t="s">
        <v>10</v>
      </c>
      <c r="D22" s="8" t="s">
        <v>40</v>
      </c>
    </row>
    <row r="23" customFormat="false" ht="15" hidden="false" customHeight="true" outlineLevel="0" collapsed="false">
      <c r="A23" s="9" t="s">
        <v>41</v>
      </c>
      <c r="B23" s="17" t="n">
        <v>0.64</v>
      </c>
      <c r="C23" s="11" t="s">
        <v>10</v>
      </c>
      <c r="D23" s="12" t="s">
        <v>42</v>
      </c>
    </row>
    <row r="24" customFormat="false" ht="15" hidden="false" customHeight="true" outlineLevel="0" collapsed="false">
      <c r="A24" s="5" t="s">
        <v>43</v>
      </c>
      <c r="B24" s="13" t="n">
        <v>0.63</v>
      </c>
      <c r="C24" s="7" t="s">
        <v>10</v>
      </c>
      <c r="D24" s="8" t="s">
        <v>44</v>
      </c>
    </row>
    <row r="25" customFormat="false" ht="15" hidden="false" customHeight="true" outlineLevel="0" collapsed="false">
      <c r="A25" s="9" t="s">
        <v>45</v>
      </c>
      <c r="B25" s="17" t="n">
        <v>0.62</v>
      </c>
      <c r="C25" s="11" t="s">
        <v>10</v>
      </c>
      <c r="D25" s="12" t="s">
        <v>46</v>
      </c>
    </row>
    <row r="26" customFormat="false" ht="15" hidden="false" customHeight="true" outlineLevel="0" collapsed="false">
      <c r="A26" s="5" t="s">
        <v>47</v>
      </c>
      <c r="B26" s="13" t="n">
        <v>0.61</v>
      </c>
      <c r="C26" s="7" t="s">
        <v>10</v>
      </c>
      <c r="D26" s="8" t="s">
        <v>48</v>
      </c>
    </row>
    <row r="27" customFormat="false" ht="15" hidden="false" customHeight="true" outlineLevel="0" collapsed="false">
      <c r="A27" s="9" t="s">
        <v>49</v>
      </c>
      <c r="B27" s="10" t="n">
        <v>0.159</v>
      </c>
      <c r="C27" s="11" t="s">
        <v>10</v>
      </c>
      <c r="D27" s="12" t="s">
        <v>50</v>
      </c>
    </row>
    <row r="28" customFormat="false" ht="15" hidden="false" customHeight="true" outlineLevel="0" collapsed="false">
      <c r="A28" s="5" t="s">
        <v>51</v>
      </c>
      <c r="B28" s="13" t="n">
        <v>0.014</v>
      </c>
      <c r="C28" s="7" t="s">
        <v>10</v>
      </c>
      <c r="D28" s="8" t="s">
        <v>52</v>
      </c>
    </row>
    <row r="29" customFormat="false" ht="15" hidden="false" customHeight="true" outlineLevel="0" collapsed="false">
      <c r="A29" s="9" t="s">
        <v>53</v>
      </c>
      <c r="B29" s="10" t="n">
        <v>0.025</v>
      </c>
      <c r="C29" s="11" t="s">
        <v>10</v>
      </c>
      <c r="D29" s="12" t="s">
        <v>54</v>
      </c>
    </row>
    <row r="30" customFormat="false" ht="15" hidden="false" customHeight="true" outlineLevel="0" collapsed="false">
      <c r="A30" s="5" t="s">
        <v>55</v>
      </c>
      <c r="B30" s="13" t="n">
        <v>0.01</v>
      </c>
      <c r="C30" s="7" t="s">
        <v>10</v>
      </c>
      <c r="D30" s="8" t="s">
        <v>56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" t="s">
        <v>57</v>
      </c>
      <c r="B32" s="4"/>
      <c r="C32" s="4"/>
      <c r="D32" s="4"/>
    </row>
    <row r="33" customFormat="false" ht="15" hidden="false" customHeight="true" outlineLevel="0" collapsed="false">
      <c r="A33" s="5" t="s">
        <v>58</v>
      </c>
      <c r="B33" s="19" t="n">
        <v>0.043</v>
      </c>
      <c r="C33" s="7" t="s">
        <v>10</v>
      </c>
      <c r="D33" s="8" t="s">
        <v>59</v>
      </c>
    </row>
    <row r="34" customFormat="false" ht="15" hidden="false" customHeight="true" outlineLevel="0" collapsed="false">
      <c r="A34" s="9" t="s">
        <v>60</v>
      </c>
      <c r="B34" s="20" t="n">
        <v>0.055</v>
      </c>
      <c r="C34" s="11" t="s">
        <v>10</v>
      </c>
      <c r="D34" s="12" t="s">
        <v>61</v>
      </c>
    </row>
    <row r="35" customFormat="false" ht="15" hidden="false" customHeight="true" outlineLevel="0" collapsed="false">
      <c r="A35" s="5" t="s">
        <v>62</v>
      </c>
      <c r="B35" s="21" t="n">
        <v>1.22</v>
      </c>
      <c r="C35" s="7" t="s">
        <v>63</v>
      </c>
      <c r="D35" s="8" t="s">
        <v>64</v>
      </c>
    </row>
    <row r="36" customFormat="false" ht="15" hidden="false" customHeight="true" outlineLevel="0" collapsed="false">
      <c r="A36" s="9" t="s">
        <v>65</v>
      </c>
      <c r="B36" s="22" t="n">
        <f aca="false">B33+B35*B34</f>
        <v>0.1101</v>
      </c>
      <c r="C36" s="11" t="s">
        <v>10</v>
      </c>
      <c r="D36" s="12" t="s">
        <v>66</v>
      </c>
    </row>
    <row r="37" customFormat="false" ht="15" hidden="false" customHeight="true" outlineLevel="0" collapsed="false">
      <c r="A37" s="5" t="s">
        <v>67</v>
      </c>
      <c r="B37" s="19" t="n">
        <v>0.035</v>
      </c>
      <c r="C37" s="7" t="s">
        <v>10</v>
      </c>
      <c r="D37" s="8" t="s">
        <v>68</v>
      </c>
    </row>
    <row r="38" customFormat="false" ht="15" hidden="false" customHeight="true" outlineLevel="0" collapsed="false">
      <c r="A38" s="9" t="s">
        <v>69</v>
      </c>
      <c r="B38" s="20" t="n">
        <v>0.93</v>
      </c>
      <c r="C38" s="11" t="s">
        <v>10</v>
      </c>
      <c r="D38" s="12" t="s">
        <v>70</v>
      </c>
    </row>
    <row r="39" customFormat="false" ht="15" hidden="false" customHeight="true" outlineLevel="0" collapsed="false">
      <c r="A39" s="5" t="s">
        <v>71</v>
      </c>
      <c r="B39" s="23" t="n">
        <f aca="false">1-B38</f>
        <v>0.07</v>
      </c>
      <c r="C39" s="7" t="s">
        <v>10</v>
      </c>
      <c r="D39" s="8" t="s">
        <v>72</v>
      </c>
    </row>
    <row r="40" customFormat="false" ht="15" hidden="false" customHeight="true" outlineLevel="0" collapsed="false">
      <c r="A40" s="9" t="s">
        <v>73</v>
      </c>
      <c r="B40" s="24" t="n">
        <f aca="false">B38*B36+B39*B37*(1-B27)</f>
        <v>0.10445345</v>
      </c>
      <c r="C40" s="11" t="s">
        <v>10</v>
      </c>
      <c r="D40" s="12" t="s">
        <v>74</v>
      </c>
    </row>
    <row r="42" customFormat="false" ht="15" hidden="false" customHeight="true" outlineLevel="0" collapsed="false">
      <c r="A42" s="4" t="s">
        <v>75</v>
      </c>
      <c r="B42" s="4"/>
      <c r="C42" s="4"/>
      <c r="D42" s="4"/>
    </row>
    <row r="43" customFormat="false" ht="15" hidden="false" customHeight="true" outlineLevel="0" collapsed="false">
      <c r="A43" s="5" t="s">
        <v>27</v>
      </c>
      <c r="B43" s="19" t="n">
        <v>0.03</v>
      </c>
      <c r="C43" s="7" t="s">
        <v>10</v>
      </c>
      <c r="D43" s="8" t="s">
        <v>76</v>
      </c>
    </row>
    <row r="44" customFormat="false" ht="15" hidden="false" customHeight="true" outlineLevel="0" collapsed="false">
      <c r="A44" s="9" t="s">
        <v>77</v>
      </c>
      <c r="B44" s="25" t="n">
        <v>21</v>
      </c>
      <c r="C44" s="11" t="s">
        <v>63</v>
      </c>
      <c r="D44" s="12" t="s">
        <v>78</v>
      </c>
    </row>
    <row r="45" customFormat="false" ht="15" hidden="false" customHeight="true" outlineLevel="0" collapsed="false">
      <c r="A45" s="5" t="s">
        <v>79</v>
      </c>
      <c r="B45" s="26" t="n">
        <v>30</v>
      </c>
      <c r="C45" s="7" t="s">
        <v>63</v>
      </c>
      <c r="D45" s="8" t="s">
        <v>80</v>
      </c>
    </row>
    <row r="47" customFormat="false" ht="15" hidden="false" customHeight="true" outlineLevel="0" collapsed="false">
      <c r="A47" s="4" t="s">
        <v>81</v>
      </c>
      <c r="B47" s="4"/>
      <c r="C47" s="4"/>
      <c r="D47" s="4"/>
    </row>
    <row r="48" customFormat="false" ht="15" hidden="false" customHeight="true" outlineLevel="0" collapsed="false">
      <c r="A48" s="5" t="s">
        <v>82</v>
      </c>
      <c r="B48" s="6" t="n">
        <v>8462</v>
      </c>
      <c r="C48" s="7" t="s">
        <v>7</v>
      </c>
      <c r="D48" s="8" t="s">
        <v>83</v>
      </c>
    </row>
    <row r="49" customFormat="false" ht="15" hidden="false" customHeight="true" outlineLevel="0" collapsed="false">
      <c r="A49" s="9" t="s">
        <v>84</v>
      </c>
      <c r="B49" s="27" t="n">
        <v>15230</v>
      </c>
      <c r="C49" s="11" t="s">
        <v>7</v>
      </c>
      <c r="D49" s="12" t="s">
        <v>85</v>
      </c>
    </row>
    <row r="50" customFormat="false" ht="15" hidden="false" customHeight="true" outlineLevel="0" collapsed="false">
      <c r="A50" s="5" t="s">
        <v>86</v>
      </c>
      <c r="B50" s="6" t="n">
        <v>24483</v>
      </c>
      <c r="C50" s="7" t="s">
        <v>87</v>
      </c>
      <c r="D50" s="8" t="s">
        <v>88</v>
      </c>
    </row>
    <row r="51" customFormat="false" ht="15" hidden="false" customHeight="true" outlineLevel="0" collapsed="false">
      <c r="A51" s="9" t="s">
        <v>89</v>
      </c>
      <c r="B51" s="28" t="n">
        <v>181.69</v>
      </c>
      <c r="C51" s="11" t="s">
        <v>90</v>
      </c>
      <c r="D51" s="1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32" activeCellId="0" sqref="R3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1" min="2" style="1" width="12"/>
    <col collapsed="false" customWidth="true" hidden="false" outlineLevel="0" max="12" min="12" style="1" width="16.57"/>
    <col collapsed="false" customWidth="true" hidden="false" outlineLevel="0" max="13" min="13" style="1" width="14"/>
    <col collapsed="false" customWidth="true" hidden="false" outlineLevel="0" max="14" min="14" style="1" width="11.85"/>
  </cols>
  <sheetData>
    <row r="1" customFormat="false" ht="31.5" hidden="false" customHeight="true" outlineLevel="0" collapsed="false">
      <c r="A1" s="29" t="s">
        <v>92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</row>
    <row r="2" customFormat="false" ht="18" hidden="false" customHeight="true" outlineLevel="0" collapsed="false">
      <c r="A2" s="31" t="s">
        <v>93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0"/>
      <c r="O2" s="30"/>
    </row>
    <row r="3" customFormat="false" ht="15" hidden="false" customHeight="true" outlineLevel="0" collapsed="false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customFormat="false" ht="15" hidden="false" customHeight="true" outlineLevel="0" collapsed="false">
      <c r="A4" s="3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  <c r="H4" s="3" t="s">
        <v>101</v>
      </c>
      <c r="I4" s="3" t="s">
        <v>102</v>
      </c>
      <c r="J4" s="3" t="s">
        <v>103</v>
      </c>
      <c r="K4" s="3" t="s">
        <v>104</v>
      </c>
      <c r="L4" s="3" t="s">
        <v>105</v>
      </c>
      <c r="M4" s="3" t="s">
        <v>106</v>
      </c>
      <c r="N4" s="30"/>
      <c r="O4" s="30"/>
    </row>
    <row r="5" customFormat="false" ht="15" hidden="false" customHeight="true" outlineLevel="0" collapsed="false">
      <c r="A5" s="33" t="s">
        <v>107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0"/>
      <c r="O5" s="30"/>
    </row>
    <row r="6" customFormat="false" ht="15" hidden="false" customHeight="true" outlineLevel="0" collapsed="false">
      <c r="A6" s="32" t="s">
        <v>108</v>
      </c>
      <c r="B6" s="34" t="n">
        <f aca="false">Assumptions!B5</f>
        <v>130497</v>
      </c>
      <c r="C6" s="34" t="n">
        <f aca="false">B6*(1+C7)</f>
        <v>215933.3859</v>
      </c>
      <c r="D6" s="34" t="n">
        <f aca="false">C6*(1+D7)</f>
        <v>360695.12780736</v>
      </c>
      <c r="E6" s="34" t="n">
        <f aca="false">D6*(1+E7)</f>
        <v>467713.372227804</v>
      </c>
      <c r="F6" s="34" t="n">
        <f aca="false">E6*(1+F7)</f>
        <v>537870.378061974</v>
      </c>
      <c r="G6" s="34" t="n">
        <f aca="false">F6*(1+G7)</f>
        <v>597036.119648791</v>
      </c>
      <c r="H6" s="34" t="n">
        <f aca="false">G6*(1+H7)</f>
        <v>650769.370417183</v>
      </c>
      <c r="I6" s="34" t="n">
        <f aca="false">H6*(1+I7)</f>
        <v>702830.920050557</v>
      </c>
      <c r="J6" s="34" t="n">
        <f aca="false">I6*(1+J7)</f>
        <v>752029.084454096</v>
      </c>
      <c r="K6" s="34" t="n">
        <f aca="false">J6*(1+K7)</f>
        <v>797150.829521342</v>
      </c>
      <c r="L6" s="34" t="n">
        <f aca="false">K6*(1+L7)</f>
        <v>837008.370997409</v>
      </c>
      <c r="M6" s="30"/>
      <c r="N6" s="30"/>
      <c r="O6" s="30"/>
    </row>
    <row r="7" customFormat="false" ht="15" hidden="false" customHeight="true" outlineLevel="0" collapsed="false">
      <c r="A7" s="9" t="s">
        <v>109</v>
      </c>
      <c r="B7" s="30"/>
      <c r="C7" s="35" t="n">
        <f aca="false">Assumptions!B6</f>
        <v>0.6547</v>
      </c>
      <c r="D7" s="35" t="n">
        <f aca="false">Assumptions!B7</f>
        <v>0.6704</v>
      </c>
      <c r="E7" s="35" t="n">
        <f aca="false">Assumptions!B8</f>
        <v>0.2967</v>
      </c>
      <c r="F7" s="35" t="n">
        <f aca="false">Assumptions!B9</f>
        <v>0.15</v>
      </c>
      <c r="G7" s="35" t="n">
        <f aca="false">Assumptions!B10</f>
        <v>0.11</v>
      </c>
      <c r="H7" s="35" t="n">
        <f aca="false">Assumptions!B11</f>
        <v>0.09</v>
      </c>
      <c r="I7" s="35" t="n">
        <f aca="false">Assumptions!B12</f>
        <v>0.08</v>
      </c>
      <c r="J7" s="35" t="n">
        <f aca="false">Assumptions!B13</f>
        <v>0.07</v>
      </c>
      <c r="K7" s="35" t="n">
        <f aca="false">Assumptions!B14</f>
        <v>0.06</v>
      </c>
      <c r="L7" s="35" t="n">
        <f aca="false">Assumptions!B15</f>
        <v>0.05</v>
      </c>
      <c r="M7" s="36" t="n">
        <f aca="false">Assumptions!B16</f>
        <v>0.0275</v>
      </c>
      <c r="N7" s="30"/>
      <c r="O7" s="30"/>
    </row>
    <row r="8" customFormat="false" ht="15" hidden="false" customHeight="true" outlineLevel="0" collapsed="false">
      <c r="A8" s="33" t="s">
        <v>110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0"/>
      <c r="O8" s="30"/>
    </row>
    <row r="9" customFormat="false" ht="15" hidden="false" customHeight="true" outlineLevel="0" collapsed="false">
      <c r="A9" s="9" t="s">
        <v>111</v>
      </c>
      <c r="B9" s="30"/>
      <c r="C9" s="35" t="n">
        <f aca="false">Assumptions!B17</f>
        <v>0.621</v>
      </c>
      <c r="D9" s="35" t="n">
        <f aca="false">Assumptions!B18</f>
        <v>0.63</v>
      </c>
      <c r="E9" s="35" t="n">
        <f aca="false">Assumptions!B19</f>
        <v>0.64</v>
      </c>
      <c r="F9" s="35" t="n">
        <f aca="false">Assumptions!B20</f>
        <v>0.65</v>
      </c>
      <c r="G9" s="35" t="n">
        <f aca="false">Assumptions!B21</f>
        <v>0.65</v>
      </c>
      <c r="H9" s="35" t="n">
        <f aca="false">Assumptions!B22</f>
        <v>0.65</v>
      </c>
      <c r="I9" s="35" t="n">
        <f aca="false">Assumptions!B23</f>
        <v>0.64</v>
      </c>
      <c r="J9" s="35" t="n">
        <f aca="false">Assumptions!B24</f>
        <v>0.63</v>
      </c>
      <c r="K9" s="35" t="n">
        <f aca="false">Assumptions!B25</f>
        <v>0.62</v>
      </c>
      <c r="L9" s="35" t="n">
        <f aca="false">Assumptions!B26</f>
        <v>0.61</v>
      </c>
      <c r="M9" s="30"/>
      <c r="N9" s="30"/>
      <c r="O9" s="30"/>
    </row>
    <row r="10" customFormat="false" ht="15" hidden="false" customHeight="true" outlineLevel="0" collapsed="false">
      <c r="A10" s="9" t="s">
        <v>112</v>
      </c>
      <c r="B10" s="30"/>
      <c r="C10" s="34" t="n">
        <f aca="false">C6*C9</f>
        <v>134094.6326439</v>
      </c>
      <c r="D10" s="34" t="n">
        <f aca="false">D6*D9</f>
        <v>227237.930518637</v>
      </c>
      <c r="E10" s="34" t="n">
        <f aca="false">E6*E9</f>
        <v>299336.558225794</v>
      </c>
      <c r="F10" s="34" t="n">
        <f aca="false">F6*F9</f>
        <v>349615.745740283</v>
      </c>
      <c r="G10" s="34" t="n">
        <f aca="false">G6*G9</f>
        <v>388073.477771714</v>
      </c>
      <c r="H10" s="34" t="n">
        <f aca="false">H6*H9</f>
        <v>423000.090771169</v>
      </c>
      <c r="I10" s="34" t="n">
        <f aca="false">I6*I9</f>
        <v>449811.788832357</v>
      </c>
      <c r="J10" s="34" t="n">
        <f aca="false">J6*J9</f>
        <v>473778.323206081</v>
      </c>
      <c r="K10" s="34" t="n">
        <f aca="false">K6*K9</f>
        <v>494233.514303232</v>
      </c>
      <c r="L10" s="34" t="n">
        <f aca="false">L6*L9</f>
        <v>510575.10630842</v>
      </c>
      <c r="M10" s="30"/>
      <c r="N10" s="30"/>
      <c r="O10" s="30"/>
    </row>
    <row r="11" customFormat="false" ht="15" hidden="false" customHeight="true" outlineLevel="0" collapsed="false">
      <c r="A11" s="9" t="s">
        <v>113</v>
      </c>
      <c r="B11" s="30"/>
      <c r="C11" s="34" t="n">
        <f aca="false">-C10*Assumptions!B27</f>
        <v>-21321.0465903801</v>
      </c>
      <c r="D11" s="34" t="n">
        <f aca="false">-D10*Assumptions!B27</f>
        <v>-36130.8309524633</v>
      </c>
      <c r="E11" s="34" t="n">
        <f aca="false">-E10*Assumptions!B27</f>
        <v>-47594.5127579013</v>
      </c>
      <c r="F11" s="34" t="n">
        <f aca="false">-F10*Assumptions!B27</f>
        <v>-55588.903572705</v>
      </c>
      <c r="G11" s="34" t="n">
        <f aca="false">-G10*Assumptions!B27</f>
        <v>-61703.6829657026</v>
      </c>
      <c r="H11" s="34" t="n">
        <f aca="false">-H10*Assumptions!B27</f>
        <v>-67257.0144326158</v>
      </c>
      <c r="I11" s="34" t="n">
        <f aca="false">-I10*Assumptions!B27</f>
        <v>-71520.0744243447</v>
      </c>
      <c r="J11" s="34" t="n">
        <f aca="false">-J10*Assumptions!B27</f>
        <v>-75330.7533897668</v>
      </c>
      <c r="K11" s="34" t="n">
        <f aca="false">-K10*Assumptions!B27</f>
        <v>-78583.1287742139</v>
      </c>
      <c r="L11" s="34" t="n">
        <f aca="false">-L10*Assumptions!B27</f>
        <v>-81181.4419030387</v>
      </c>
      <c r="M11" s="30"/>
      <c r="N11" s="30"/>
      <c r="O11" s="30"/>
    </row>
    <row r="12" customFormat="false" ht="15" hidden="false" customHeight="true" outlineLevel="0" collapsed="false">
      <c r="A12" s="32" t="s">
        <v>114</v>
      </c>
      <c r="B12" s="30"/>
      <c r="C12" s="37" t="n">
        <f aca="false">C10+C11</f>
        <v>112773.58605352</v>
      </c>
      <c r="D12" s="37" t="n">
        <f aca="false">D10+D11</f>
        <v>191107.099566174</v>
      </c>
      <c r="E12" s="37" t="n">
        <f aca="false">E10+E11</f>
        <v>251742.045467893</v>
      </c>
      <c r="F12" s="37" t="n">
        <f aca="false">F10+F11</f>
        <v>294026.842167578</v>
      </c>
      <c r="G12" s="37" t="n">
        <f aca="false">G10+G11</f>
        <v>326369.794806012</v>
      </c>
      <c r="H12" s="37" t="n">
        <f aca="false">H10+H11</f>
        <v>355743.076338553</v>
      </c>
      <c r="I12" s="37" t="n">
        <f aca="false">I10+I11</f>
        <v>378291.714408012</v>
      </c>
      <c r="J12" s="37" t="n">
        <f aca="false">J10+J11</f>
        <v>398447.569816314</v>
      </c>
      <c r="K12" s="37" t="n">
        <f aca="false">K10+K11</f>
        <v>415650.385529018</v>
      </c>
      <c r="L12" s="37" t="n">
        <f aca="false">L10+L11</f>
        <v>429393.664405381</v>
      </c>
      <c r="M12" s="30"/>
      <c r="N12" s="30"/>
      <c r="O12" s="30"/>
    </row>
    <row r="13" customFormat="false" ht="15" hidden="false" customHeight="true" outlineLevel="0" collapsed="false">
      <c r="A13" s="9" t="s">
        <v>115</v>
      </c>
      <c r="B13" s="30"/>
      <c r="C13" s="34" t="n">
        <f aca="false">C6*Assumptions!B28</f>
        <v>3023.0674026</v>
      </c>
      <c r="D13" s="34" t="n">
        <f aca="false">D6*Assumptions!B28</f>
        <v>5049.73178930304</v>
      </c>
      <c r="E13" s="34" t="n">
        <f aca="false">E6*Assumptions!B28</f>
        <v>6547.98721118925</v>
      </c>
      <c r="F13" s="34" t="n">
        <f aca="false">F6*Assumptions!B28</f>
        <v>7530.18529286764</v>
      </c>
      <c r="G13" s="34" t="n">
        <f aca="false">G6*Assumptions!B28</f>
        <v>8358.50567508308</v>
      </c>
      <c r="H13" s="34" t="n">
        <f aca="false">H6*Assumptions!B28</f>
        <v>9110.77118584056</v>
      </c>
      <c r="I13" s="34" t="n">
        <f aca="false">I6*Assumptions!B28</f>
        <v>9839.6328807078</v>
      </c>
      <c r="J13" s="34" t="n">
        <f aca="false">J6*Assumptions!B28</f>
        <v>10528.4071823574</v>
      </c>
      <c r="K13" s="34" t="n">
        <f aca="false">K6*Assumptions!B28</f>
        <v>11160.1116132988</v>
      </c>
      <c r="L13" s="34" t="n">
        <f aca="false">L6*Assumptions!B28</f>
        <v>11718.1171939637</v>
      </c>
      <c r="M13" s="30"/>
      <c r="N13" s="30"/>
      <c r="O13" s="30"/>
    </row>
    <row r="14" customFormat="false" ht="15" hidden="false" customHeight="true" outlineLevel="0" collapsed="false">
      <c r="A14" s="9" t="s">
        <v>116</v>
      </c>
      <c r="B14" s="30"/>
      <c r="C14" s="34" t="n">
        <f aca="false">-C6*Assumptions!B29</f>
        <v>-5398.3346475</v>
      </c>
      <c r="D14" s="34" t="n">
        <f aca="false">-D6*Assumptions!B29</f>
        <v>-9017.378195184</v>
      </c>
      <c r="E14" s="34" t="n">
        <f aca="false">-E6*Assumptions!B29</f>
        <v>-11692.8343056951</v>
      </c>
      <c r="F14" s="34" t="n">
        <f aca="false">-F6*Assumptions!B29</f>
        <v>-13446.7594515494</v>
      </c>
      <c r="G14" s="34" t="n">
        <f aca="false">-G6*Assumptions!B29</f>
        <v>-14925.9029912198</v>
      </c>
      <c r="H14" s="34" t="n">
        <f aca="false">-H6*Assumptions!B29</f>
        <v>-16269.2342604296</v>
      </c>
      <c r="I14" s="34" t="n">
        <f aca="false">-I6*Assumptions!B29</f>
        <v>-17570.7730012639</v>
      </c>
      <c r="J14" s="34" t="n">
        <f aca="false">-J6*Assumptions!B29</f>
        <v>-18800.7271113524</v>
      </c>
      <c r="K14" s="34" t="n">
        <f aca="false">-K6*Assumptions!B29</f>
        <v>-19928.7707380336</v>
      </c>
      <c r="L14" s="34" t="n">
        <f aca="false">-L6*Assumptions!B29</f>
        <v>-20925.2092749352</v>
      </c>
      <c r="M14" s="30"/>
      <c r="N14" s="30"/>
      <c r="O14" s="30"/>
    </row>
    <row r="15" customFormat="false" ht="15" hidden="false" customHeight="true" outlineLevel="0" collapsed="false">
      <c r="A15" s="9" t="s">
        <v>117</v>
      </c>
      <c r="B15" s="30"/>
      <c r="C15" s="34" t="n">
        <f aca="false">-C6*Assumptions!B30</f>
        <v>-2159.333859</v>
      </c>
      <c r="D15" s="34" t="n">
        <f aca="false">-D6*Assumptions!B30</f>
        <v>-3606.9512780736</v>
      </c>
      <c r="E15" s="34" t="n">
        <f aca="false">-E6*Assumptions!B30</f>
        <v>-4677.13372227804</v>
      </c>
      <c r="F15" s="34" t="n">
        <f aca="false">-F6*Assumptions!B30</f>
        <v>-5378.70378061974</v>
      </c>
      <c r="G15" s="34" t="n">
        <f aca="false">-G6*Assumptions!B30</f>
        <v>-5970.36119648791</v>
      </c>
      <c r="H15" s="34" t="n">
        <f aca="false">-H6*Assumptions!B30</f>
        <v>-6507.69370417183</v>
      </c>
      <c r="I15" s="34" t="n">
        <f aca="false">-I6*Assumptions!B30</f>
        <v>-7028.30920050557</v>
      </c>
      <c r="J15" s="34" t="n">
        <f aca="false">-J6*Assumptions!B30</f>
        <v>-7520.29084454096</v>
      </c>
      <c r="K15" s="34" t="n">
        <f aca="false">-K6*Assumptions!B30</f>
        <v>-7971.50829521342</v>
      </c>
      <c r="L15" s="34" t="n">
        <f aca="false">-L6*Assumptions!B30</f>
        <v>-8370.08370997409</v>
      </c>
      <c r="M15" s="30"/>
      <c r="N15" s="30"/>
      <c r="O15" s="30"/>
    </row>
    <row r="16" customFormat="false" ht="15" hidden="false" customHeight="true" outlineLevel="0" collapsed="false">
      <c r="A16" s="32" t="s">
        <v>118</v>
      </c>
      <c r="B16" s="30"/>
      <c r="C16" s="38" t="n">
        <f aca="false">C12+C13+C14+C15</f>
        <v>108238.98494962</v>
      </c>
      <c r="D16" s="38" t="n">
        <f aca="false">D12+D13+D14+D15</f>
        <v>183532.501882219</v>
      </c>
      <c r="E16" s="38" t="n">
        <f aca="false">E12+E13+E14+E15</f>
        <v>241920.064651109</v>
      </c>
      <c r="F16" s="38" t="n">
        <f aca="false">F12+F13+F14+F15</f>
        <v>282731.564228277</v>
      </c>
      <c r="G16" s="38" t="n">
        <f aca="false">G12+G13+G14+G15</f>
        <v>313832.036293387</v>
      </c>
      <c r="H16" s="38" t="n">
        <f aca="false">H12+H13+H14+H15</f>
        <v>342076.919559792</v>
      </c>
      <c r="I16" s="38" t="n">
        <f aca="false">I12+I13+I14+I15</f>
        <v>363532.26508695</v>
      </c>
      <c r="J16" s="38" t="n">
        <f aca="false">J12+J13+J14+J15</f>
        <v>382654.959042778</v>
      </c>
      <c r="K16" s="38" t="n">
        <f aca="false">K12+K13+K14+K15</f>
        <v>398910.21810907</v>
      </c>
      <c r="L16" s="38" t="n">
        <f aca="false">L12+L13+L14+L15</f>
        <v>411816.488614435</v>
      </c>
      <c r="M16" s="38"/>
      <c r="N16" s="30"/>
      <c r="O16" s="30"/>
    </row>
    <row r="17" customFormat="false" ht="15" hidden="false" customHeight="true" outlineLevel="0" collapsed="false">
      <c r="A17" s="33" t="s">
        <v>119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0"/>
      <c r="O17" s="30"/>
    </row>
    <row r="18" customFormat="false" ht="15" hidden="false" customHeight="true" outlineLevel="0" collapsed="false">
      <c r="A18" s="9" t="s">
        <v>120</v>
      </c>
      <c r="B18" s="30"/>
      <c r="C18" s="39" t="n">
        <f aca="false">1/(1+Assumptions!B40)^1</f>
        <v>0.905425212805483</v>
      </c>
      <c r="D18" s="39" t="n">
        <f aca="false">1/(1+Assumptions!B40)^2</f>
        <v>0.819794815983854</v>
      </c>
      <c r="E18" s="39" t="n">
        <f aca="false">1/(1+Assumptions!B40)^3</f>
        <v>0.742262895719013</v>
      </c>
      <c r="F18" s="39" t="n">
        <f aca="false">1/(1+Assumptions!B40)^4</f>
        <v>0.672063540314002</v>
      </c>
      <c r="G18" s="39" t="n">
        <f aca="false">1/(1+Assumptions!B40)^5</f>
        <v>0.608503274007611</v>
      </c>
      <c r="H18" s="39" t="n">
        <f aca="false">1/(1+Assumptions!B40)^6</f>
        <v>0.550954206361175</v>
      </c>
      <c r="I18" s="39" t="n">
        <f aca="false">1/(1+Assumptions!B40)^7</f>
        <v>0.498847829540642</v>
      </c>
      <c r="J18" s="39" t="n">
        <f aca="false">1/(1+Assumptions!B40)^8</f>
        <v>0.45166940221939</v>
      </c>
      <c r="K18" s="39" t="n">
        <f aca="false">1/(1+Assumptions!B40)^9</f>
        <v>0.408952864622216</v>
      </c>
      <c r="L18" s="39" t="n">
        <f aca="false">1/(1+Assumptions!B40)^10</f>
        <v>0.370276234477982</v>
      </c>
      <c r="M18" s="40" t="n">
        <f aca="false">Assumptions!B40</f>
        <v>0.10445345</v>
      </c>
      <c r="N18" s="30"/>
      <c r="O18" s="30"/>
    </row>
    <row r="19" customFormat="false" ht="15" hidden="false" customHeight="true" outlineLevel="0" collapsed="false">
      <c r="A19" s="9" t="s">
        <v>121</v>
      </c>
      <c r="B19" s="30"/>
      <c r="C19" s="37" t="n">
        <f aca="false">C16*C18</f>
        <v>98002.3059818591</v>
      </c>
      <c r="D19" s="37" t="n">
        <f aca="false">D16*D18</f>
        <v>150458.99360759</v>
      </c>
      <c r="E19" s="37" t="n">
        <f aca="false">E16*E18</f>
        <v>179568.287720463</v>
      </c>
      <c r="F19" s="37" t="n">
        <f aca="false">F16*F18</f>
        <v>190013.576013771</v>
      </c>
      <c r="G19" s="37" t="n">
        <f aca="false">G16*G18</f>
        <v>190967.821573002</v>
      </c>
      <c r="H19" s="37" t="n">
        <f aca="false">H16*H18</f>
        <v>188468.717730541</v>
      </c>
      <c r="I19" s="37" t="n">
        <f aca="false">I16*I18</f>
        <v>181347.281406619</v>
      </c>
      <c r="J19" s="37" t="n">
        <f aca="false">J16*J18</f>
        <v>172833.536607136</v>
      </c>
      <c r="K19" s="37" t="n">
        <f aca="false">K16*K18</f>
        <v>163135.476422777</v>
      </c>
      <c r="L19" s="37" t="n">
        <f aca="false">L16*L18</f>
        <v>152485.858700098</v>
      </c>
      <c r="M19" s="30"/>
      <c r="N19" s="30"/>
      <c r="O19" s="30"/>
    </row>
    <row r="20" customFormat="false" ht="15" hidden="false" customHeight="true" outlineLevel="0" collapsed="false">
      <c r="A20" s="33" t="s">
        <v>122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0"/>
      <c r="O20" s="30"/>
    </row>
    <row r="21" customFormat="false" ht="15" hidden="false" customHeight="true" outlineLevel="0" collapsed="false">
      <c r="A21" s="32" t="s">
        <v>123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customFormat="false" ht="15" hidden="false" customHeight="true" outlineLevel="0" collapsed="false">
      <c r="A22" s="9" t="s">
        <v>124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1" t="n">
        <f aca="false">L16*(1+M7)/(M18-M7)</f>
        <v>5498667.59776634</v>
      </c>
      <c r="O22" s="30"/>
    </row>
    <row r="23" customFormat="false" ht="15" hidden="false" customHeight="true" outlineLevel="0" collapsed="false">
      <c r="A23" s="9" t="s">
        <v>125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4" t="n">
        <f aca="false">M22/(1+M18)^10</f>
        <v>2036025.93274701</v>
      </c>
      <c r="N23" s="30"/>
      <c r="O23" s="30"/>
    </row>
    <row r="24" customFormat="false" ht="15" hidden="false" customHeight="true" outlineLevel="0" collapsed="false">
      <c r="A24" s="9" t="s">
        <v>126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2" t="n">
        <f aca="false">M23/L33</f>
        <v>0.549785772347514</v>
      </c>
      <c r="N24" s="30"/>
      <c r="O24" s="30"/>
    </row>
    <row r="25" customFormat="false" ht="15" hidden="false" customHeight="true" outlineLevel="0" collapsed="false">
      <c r="A25" s="32" t="s">
        <v>127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customFormat="false" ht="15" hidden="false" customHeight="true" outlineLevel="0" collapsed="false">
      <c r="A26" s="9" t="s">
        <v>128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" t="n">
        <f aca="false">L10*Assumptions!B44</f>
        <v>10722077.2324768</v>
      </c>
      <c r="N26" s="30"/>
      <c r="O26" s="30"/>
    </row>
    <row r="27" customFormat="false" ht="15" hidden="false" customHeight="true" outlineLevel="0" collapsed="false">
      <c r="A27" s="9" t="s">
        <v>129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" t="n">
        <f aca="false">M26/(1+Assumptions!B40)^10</f>
        <v>3970130.38342362</v>
      </c>
      <c r="N27" s="30"/>
      <c r="O27" s="30"/>
    </row>
    <row r="28" customFormat="false" ht="15" hidden="false" customHeight="true" outlineLevel="0" collapsed="false">
      <c r="A28" s="9" t="s">
        <v>130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" t="n">
        <f aca="false">M27/M33</f>
        <v>0.704246951433844</v>
      </c>
      <c r="N28" s="30"/>
      <c r="O28" s="30"/>
    </row>
    <row r="29" customFormat="false" ht="15" hidden="false" customHeight="true" outlineLevel="0" collapsed="false">
      <c r="A29" s="33" t="s">
        <v>131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0"/>
      <c r="O29" s="30"/>
    </row>
    <row r="30" customFormat="false" ht="15" hidden="false" customHeight="true" outlineLevel="0" collapsed="false">
      <c r="A30" s="32" t="s">
        <v>132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44" t="s">
        <v>133</v>
      </c>
      <c r="M30" s="45" t="s">
        <v>134</v>
      </c>
      <c r="N30" s="30"/>
      <c r="O30" s="30"/>
    </row>
    <row r="31" customFormat="false" ht="15" hidden="false" customHeight="true" outlineLevel="0" collapsed="false">
      <c r="A31" s="9" t="s">
        <v>135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4" t="n">
        <f aca="false">SUM(C19:L19)</f>
        <v>1667281.85576386</v>
      </c>
      <c r="M31" s="34" t="n">
        <f aca="false">SUM(C19:L19)</f>
        <v>1667281.85576386</v>
      </c>
      <c r="N31" s="30"/>
      <c r="O31" s="30"/>
    </row>
    <row r="32" customFormat="false" ht="15" hidden="false" customHeight="true" outlineLevel="0" collapsed="false">
      <c r="A32" s="9" t="s">
        <v>136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46" t="n">
        <f aca="false">M23</f>
        <v>2036025.93274701</v>
      </c>
      <c r="M32" s="46" t="n">
        <f aca="false">M27</f>
        <v>3970130.38342362</v>
      </c>
      <c r="N32" s="30"/>
      <c r="O32" s="30"/>
    </row>
    <row r="33" customFormat="false" ht="15" hidden="false" customHeight="true" outlineLevel="0" collapsed="false">
      <c r="A33" s="32" t="s">
        <v>137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47" t="n">
        <f aca="false">L31+L32</f>
        <v>3703307.78851087</v>
      </c>
      <c r="M33" s="47" t="n">
        <f aca="false">M31+M32</f>
        <v>5637412.23918747</v>
      </c>
      <c r="N33" s="30"/>
      <c r="O33" s="30"/>
    </row>
    <row r="34" customFormat="false" ht="15" hidden="false" customHeight="true" outlineLevel="0" collapsed="false">
      <c r="A34" s="9" t="s">
        <v>138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4" t="n">
        <f aca="false">-Assumptions!B48</f>
        <v>-8462</v>
      </c>
      <c r="M34" s="34" t="n">
        <f aca="false">-Assumptions!B48</f>
        <v>-8462</v>
      </c>
      <c r="N34" s="30"/>
      <c r="O34" s="30"/>
    </row>
    <row r="35" customFormat="false" ht="15" hidden="false" customHeight="true" outlineLevel="0" collapsed="false">
      <c r="A35" s="9" t="s">
        <v>139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4" t="n">
        <f aca="false">Assumptions!B49</f>
        <v>15230</v>
      </c>
      <c r="M35" s="34" t="n">
        <f aca="false">Assumptions!B49</f>
        <v>15230</v>
      </c>
      <c r="N35" s="30"/>
      <c r="O35" s="30"/>
    </row>
    <row r="36" customFormat="false" ht="15" hidden="false" customHeight="true" outlineLevel="0" collapsed="false">
      <c r="A36" s="32" t="s">
        <v>140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47" t="n">
        <f aca="false">L33+L34+L35</f>
        <v>3710075.78851087</v>
      </c>
      <c r="M36" s="47" t="n">
        <f aca="false">M33+M34+M35</f>
        <v>5644180.23918747</v>
      </c>
      <c r="N36" s="30"/>
      <c r="O36" s="30"/>
    </row>
    <row r="37" customFormat="false" ht="15" hidden="false" customHeight="true" outlineLevel="0" collapsed="false">
      <c r="A37" s="9" t="s">
        <v>141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48" t="n">
        <f aca="false">Assumptions!B50</f>
        <v>24483</v>
      </c>
      <c r="M37" s="48" t="n">
        <f aca="false">Assumptions!B50</f>
        <v>24483</v>
      </c>
      <c r="N37" s="30"/>
      <c r="O37" s="30"/>
    </row>
    <row r="38" customFormat="false" ht="15" hidden="false" customHeight="true" outlineLevel="0" collapsed="false">
      <c r="A38" s="32" t="s">
        <v>142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49" t="n">
        <f aca="false">L36/L37</f>
        <v>151.536812829754</v>
      </c>
      <c r="M38" s="49" t="n">
        <f aca="false">M36/M37</f>
        <v>230.534666470101</v>
      </c>
      <c r="N38" s="30"/>
      <c r="O38" s="30"/>
    </row>
    <row r="39" customFormat="false" ht="15" hidden="false" customHeight="true" outlineLevel="0" collapsed="false">
      <c r="A39" s="9" t="s">
        <v>89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50" t="n">
        <f aca="false">Assumptions!B51</f>
        <v>181.69</v>
      </c>
      <c r="M39" s="50" t="n">
        <f aca="false">Assumptions!B51</f>
        <v>181.69</v>
      </c>
      <c r="N39" s="30"/>
      <c r="O39" s="30"/>
    </row>
    <row r="40" customFormat="false" ht="15" hidden="false" customHeight="true" outlineLevel="0" collapsed="false">
      <c r="A40" s="32" t="s">
        <v>143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51" t="n">
        <f aca="false">L38/L39-1</f>
        <v>-0.165959530905641</v>
      </c>
      <c r="M40" s="51" t="n">
        <f aca="false">M38/M39-1</f>
        <v>0.268835194397603</v>
      </c>
      <c r="N40" s="30"/>
      <c r="O40" s="30"/>
    </row>
    <row r="41" customFormat="false" ht="15" hidden="false" customHeight="tru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customFormat="false" ht="15" hidden="false" customHeight="true" outlineLevel="0" collapsed="false">
      <c r="A42" s="33" t="s">
        <v>144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0"/>
      <c r="O42" s="30"/>
    </row>
    <row r="43" customFormat="false" ht="96" hidden="false" customHeight="true" outlineLevel="0" collapsed="false">
      <c r="A43" s="52" t="s">
        <v>145</v>
      </c>
      <c r="B43" s="52"/>
      <c r="C43" s="52"/>
      <c r="D43" s="52"/>
      <c r="E43" s="52"/>
      <c r="F43" s="52"/>
      <c r="G43" s="52"/>
      <c r="H43" s="52"/>
      <c r="I43" s="52"/>
      <c r="J43" s="30"/>
      <c r="K43" s="30"/>
      <c r="L43" s="30"/>
      <c r="M43" s="30"/>
      <c r="N43" s="30"/>
      <c r="O43" s="30"/>
    </row>
    <row r="44" customFormat="false" ht="15" hidden="false" customHeight="tru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customFormat="false" ht="141" hidden="false" customHeight="true" outlineLevel="0" collapsed="false">
      <c r="A45" s="52" t="s">
        <v>146</v>
      </c>
      <c r="B45" s="52"/>
      <c r="C45" s="52"/>
      <c r="D45" s="52"/>
      <c r="E45" s="52"/>
      <c r="F45" s="52"/>
      <c r="G45" s="52"/>
      <c r="H45" s="52"/>
      <c r="I45" s="52"/>
      <c r="J45" s="30"/>
      <c r="K45" s="30"/>
      <c r="L45" s="30"/>
      <c r="M45" s="30"/>
      <c r="N45" s="30"/>
      <c r="O45" s="30"/>
    </row>
    <row r="46" customFormat="false" ht="15" hidden="false" customHeight="tru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customFormat="false" ht="15" hidden="false" customHeight="tru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customFormat="false" ht="15" hidden="false" customHeight="tru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customFormat="false" ht="15" hidden="false" customHeight="tru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customFormat="false" ht="15" hidden="false" customHeight="tru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</sheetData>
  <mergeCells count="10">
    <mergeCell ref="A1:M1"/>
    <mergeCell ref="A2:M2"/>
    <mergeCell ref="A5:M5"/>
    <mergeCell ref="A8:M8"/>
    <mergeCell ref="A17:M17"/>
    <mergeCell ref="A20:M20"/>
    <mergeCell ref="A29:M29"/>
    <mergeCell ref="A42:M42"/>
    <mergeCell ref="A43:I43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53" t="s">
        <v>147</v>
      </c>
      <c r="B1" s="53"/>
      <c r="C1" s="53"/>
      <c r="D1" s="53"/>
      <c r="E1" s="53"/>
      <c r="F1" s="53"/>
      <c r="G1" s="53"/>
      <c r="H1" s="53"/>
      <c r="I1" s="30"/>
    </row>
    <row r="2" customFormat="false" ht="15" hidden="false" customHeight="true" outlineLevel="0" collapsed="false">
      <c r="A2" s="30"/>
      <c r="B2" s="30"/>
      <c r="C2" s="30"/>
      <c r="D2" s="30"/>
      <c r="E2" s="30"/>
      <c r="F2" s="30"/>
      <c r="G2" s="30"/>
      <c r="H2" s="30"/>
      <c r="I2" s="30"/>
    </row>
    <row r="3" customFormat="false" ht="15" hidden="false" customHeight="true" outlineLevel="0" collapsed="false">
      <c r="A3" s="54" t="s">
        <v>148</v>
      </c>
      <c r="B3" s="54"/>
      <c r="C3" s="54"/>
      <c r="D3" s="54"/>
      <c r="E3" s="54"/>
      <c r="F3" s="54"/>
      <c r="G3" s="54"/>
      <c r="H3" s="54"/>
      <c r="I3" s="30"/>
    </row>
    <row r="4" customFormat="false" ht="15" hidden="false" customHeight="true" outlineLevel="0" collapsed="false">
      <c r="A4" s="55" t="s">
        <v>149</v>
      </c>
      <c r="B4" s="56" t="n">
        <v>0.07</v>
      </c>
      <c r="C4" s="56" t="n">
        <v>0.08</v>
      </c>
      <c r="D4" s="56" t="n">
        <v>0.09</v>
      </c>
      <c r="E4" s="56" t="n">
        <v>0.1</v>
      </c>
      <c r="F4" s="56" t="n">
        <v>0.11</v>
      </c>
      <c r="G4" s="56" t="n">
        <v>0.12</v>
      </c>
      <c r="H4" s="55" t="s">
        <v>150</v>
      </c>
      <c r="I4" s="30"/>
    </row>
    <row r="5" customFormat="false" ht="15" hidden="false" customHeight="true" outlineLevel="0" collapsed="false">
      <c r="A5" s="57" t="n">
        <v>0.015</v>
      </c>
      <c r="B5" s="58" t="n">
        <f aca="false">('DCF Model'!L31*((0.07/Assumptions!B40))+('DCF Model'!L16*(1+0.015)/(0.07-0.015))/(1+0.07)^10-Assumptions!B48+Assumptions!B49)/Assumptions!B50</f>
        <v>203.712860633964</v>
      </c>
      <c r="C5" s="59" t="n">
        <f aca="false">('DCF Model'!L31*((0.08/Assumptions!B40))+('DCF Model'!L16*(1+0.015)/(0.08-0.015))/(1+0.08)^10-Assumptions!B48+Assumptions!B49)/Assumptions!B50</f>
        <v>174.095112643481</v>
      </c>
      <c r="D5" s="58" t="n">
        <f aca="false">('DCF Model'!L31*((0.09/Assumptions!B40))+('DCF Model'!L16*(1+0.015)/(0.09-0.015))/(1+0.09)^10-Assumptions!B48+Assumptions!B49)/Assumptions!B50</f>
        <v>155.109480307619</v>
      </c>
      <c r="E5" s="59" t="n">
        <f aca="false">('DCF Model'!L31*((0.1/Assumptions!B40))+('DCF Model'!L16*(1+0.015)/(0.1-0.015))/(1+0.1)^10-Assumptions!B48+Assumptions!B49)/Assumptions!B50</f>
        <v>142.911468080489</v>
      </c>
      <c r="F5" s="58" t="n">
        <f aca="false">('DCF Model'!L31*((0.11/Assumptions!B40))+('DCF Model'!L16*(1+0.015)/(0.11-0.015))/(1+0.11)^10-Assumptions!B48+Assumptions!B49)/Assumptions!B50</f>
        <v>135.284571046027</v>
      </c>
      <c r="G5" s="59" t="n">
        <f aca="false">('DCF Model'!L31*((0.12/Assumptions!B40))+('DCF Model'!L16*(1+0.015)/(0.12-0.015))/(1+0.12)^10-Assumptions!B48+Assumptions!B49)/Assumptions!B50</f>
        <v>130.864035833397</v>
      </c>
      <c r="H5" s="30"/>
      <c r="I5" s="30"/>
    </row>
    <row r="6" customFormat="false" ht="15" hidden="false" customHeight="true" outlineLevel="0" collapsed="false">
      <c r="A6" s="57" t="n">
        <v>0.02</v>
      </c>
      <c r="B6" s="59" t="n">
        <f aca="false">('DCF Model'!L31*((0.07/Assumptions!B40))+('DCF Model'!L16*(1+0.02)/(0.07-0.02))/(1+0.07)^10-Assumptions!B48+Assumptions!B49)/Assumptions!B50</f>
        <v>220.347845496181</v>
      </c>
      <c r="C6" s="58" t="n">
        <f aca="false">('DCF Model'!L31*((0.08/Assumptions!B40))+('DCF Model'!L16*(1+0.02)/(0.08-0.02))/(1+0.08)^10-Assumptions!B48+Assumptions!B49)/Assumptions!B50</f>
        <v>184.882858252264</v>
      </c>
      <c r="D6" s="59" t="n">
        <f aca="false">('DCF Model'!L31*((0.09/Assumptions!B40))+('DCF Model'!L16*(1+0.02)/(0.09-0.02))/(1+0.09)^10-Assumptions!B48+Assumptions!B49)/Assumptions!B50</f>
        <v>162.485317435458</v>
      </c>
      <c r="E6" s="58" t="n">
        <f aca="false">('DCF Model'!L31*((0.1/Assumptions!B40))+('DCF Model'!L16*(1+0.02)/(0.1-0.02))/(1+0.1)^10-Assumptions!B48+Assumptions!B49)/Assumptions!B50</f>
        <v>148.1567160445</v>
      </c>
      <c r="F6" s="59" t="n">
        <f aca="false">('DCF Model'!L31*((0.11/Assumptions!B40))+('DCF Model'!L16*(1+0.02)/(0.11-0.02))/(1+0.11)^10-Assumptions!B48+Assumptions!B49)/Assumptions!B50</f>
        <v>139.129923739415</v>
      </c>
      <c r="G6" s="58" t="n">
        <f aca="false">('DCF Model'!L31*((0.12/Assumptions!B40))+('DCF Model'!L16*(1+0.02)/(0.12-0.02))/(1+0.12)^10-Assumptions!B48+Assumptions!B49)/Assumptions!B50</f>
        <v>133.752437586355</v>
      </c>
      <c r="H6" s="30"/>
      <c r="I6" s="30"/>
    </row>
    <row r="7" customFormat="false" ht="15" hidden="false" customHeight="true" outlineLevel="0" collapsed="false">
      <c r="A7" s="57" t="n">
        <v>0.0275</v>
      </c>
      <c r="B7" s="58" t="n">
        <f aca="false">('DCF Model'!L31*((0.07/Assumptions!B40))+('DCF Model'!L16*(1+0.0275)/(0.07-0.0275))/(1+0.07)^10-Assumptions!B48+Assumptions!B49)/Assumptions!B50</f>
        <v>252.639286699308</v>
      </c>
      <c r="C7" s="59" t="n">
        <f aca="false">('DCF Model'!L31*((0.08/Assumptions!B40))+('DCF Model'!L16*(1+0.0275)/(0.08-0.0275))/(1+0.08)^10-Assumptions!B48+Assumptions!B49)/Assumptions!B50</f>
        <v>204.91724295429</v>
      </c>
      <c r="D7" s="58" t="n">
        <f aca="false">('DCF Model'!L31*((0.09/Assumptions!B40))+('DCF Model'!L16*(1+0.0275)/(0.09-0.0275))/(1+0.09)^10-Assumptions!B48+Assumptions!B49)/Assumptions!B50</f>
        <v>175.76182426557</v>
      </c>
      <c r="E7" s="60" t="n">
        <f aca="false">('DCF Model'!L31*((0.1/Assumptions!B40))+('DCF Model'!L16*(1+0.0275)/(0.1-0.0275))/(1+0.1)^10-Assumptions!B48+Assumptions!B49)/Assumptions!B50</f>
        <v>157.38111763638</v>
      </c>
      <c r="F7" s="58" t="n">
        <f aca="false">('DCF Model'!L31*((0.11/Assumptions!B40))+('DCF Model'!L16*(1+0.0275)/(0.11-0.0275))/(1+0.11)^10-Assumptions!B48+Assumptions!B49)/Assumptions!B50</f>
        <v>145.771896573448</v>
      </c>
      <c r="G7" s="59" t="n">
        <f aca="false">('DCF Model'!L31*((0.12/Assumptions!B40))+('DCF Model'!L16*(1+0.0275)/(0.12-0.0275))/(1+0.12)^10-Assumptions!B48+Assumptions!B49)/Assumptions!B50</f>
        <v>138.670527057606</v>
      </c>
      <c r="H7" s="30"/>
      <c r="I7" s="30"/>
    </row>
    <row r="8" customFormat="false" ht="15" hidden="false" customHeight="true" outlineLevel="0" collapsed="false">
      <c r="A8" s="57" t="n">
        <v>0.03</v>
      </c>
      <c r="B8" s="59" t="n">
        <f aca="false">('DCF Model'!L31*((0.07/Assumptions!B40))+('DCF Model'!L16*(1+0.03)/(0.07-0.03))/(1+0.07)^10-Assumptions!B48+Assumptions!B49)/Assumptions!B50</f>
        <v>266.094053867278</v>
      </c>
      <c r="C8" s="58" t="n">
        <f aca="false">('DCF Model'!L31*((0.08/Assumptions!B40))+('DCF Model'!L16*(1+0.03)/(0.08-0.03))/(1+0.08)^10-Assumptions!B48+Assumptions!B49)/Assumptions!B50</f>
        <v>212.930996835101</v>
      </c>
      <c r="D8" s="59" t="n">
        <f aca="false">('DCF Model'!L31*((0.09/Assumptions!B40))+('DCF Model'!L16*(1+0.03)/(0.09-0.03))/(1+0.09)^10-Assumptions!B48+Assumptions!B49)/Assumptions!B50</f>
        <v>180.924910255058</v>
      </c>
      <c r="E8" s="58" t="n">
        <f aca="false">('DCF Model'!L31*((0.1/Assumptions!B40))+('DCF Model'!L16*(1+0.03)/(0.1-0.03))/(1+0.1)^10-Assumptions!B48+Assumptions!B49)/Assumptions!B50</f>
        <v>160.895175385668</v>
      </c>
      <c r="F8" s="59" t="n">
        <f aca="false">('DCF Model'!L31*((0.11/Assumptions!B40))+('DCF Model'!L16*(1+0.03)/(0.11-0.03))/(1+0.11)^10-Assumptions!B48+Assumptions!B49)/Assumptions!B50</f>
        <v>148.262636386211</v>
      </c>
      <c r="G8" s="58" t="n">
        <f aca="false">('DCF Model'!L31*((0.12/Assumptions!B40))+('DCF Model'!L16*(1+0.03)/(0.12-0.03))/(1+0.12)^10-Assumptions!B48+Assumptions!B49)/Assumptions!B50</f>
        <v>140.492041676588</v>
      </c>
      <c r="H8" s="30"/>
      <c r="I8" s="30"/>
    </row>
    <row r="9" customFormat="false" ht="15" hidden="false" customHeight="true" outlineLevel="0" collapsed="false">
      <c r="A9" s="57" t="n">
        <v>0.035</v>
      </c>
      <c r="B9" s="58" t="n">
        <f aca="false">('DCF Model'!L31*((0.07/Assumptions!B40))+('DCF Model'!L16*(1+0.035)/(0.07-0.035))/(1+0.07)^10-Assumptions!B48+Assumptions!B49)/Assumptions!B50</f>
        <v>298.76991698949</v>
      </c>
      <c r="C9" s="59" t="n">
        <f aca="false">('DCF Model'!L31*((0.08/Assumptions!B40))+('DCF Model'!L16*(1+0.035)/(0.08-0.035))/(1+0.08)^10-Assumptions!B48+Assumptions!B49)/Assumptions!B50</f>
        <v>231.629755890325</v>
      </c>
      <c r="D9" s="58" t="n">
        <f aca="false">('DCF Model'!L31*((0.09/Assumptions!B40))+('DCF Model'!L16*(1+0.035)/(0.09-0.035))/(1+0.09)^10-Assumptions!B48+Assumptions!B49)/Assumptions!B50</f>
        <v>192.659196594803</v>
      </c>
      <c r="E9" s="59" t="n">
        <f aca="false">('DCF Model'!L31*((0.1/Assumptions!B40))+('DCF Model'!L16*(1+0.035)/(0.1-0.035))/(1+0.1)^10-Assumptions!B48+Assumptions!B49)/Assumptions!B50</f>
        <v>168.734227287926</v>
      </c>
      <c r="F9" s="58" t="n">
        <f aca="false">('DCF Model'!L31*((0.11/Assumptions!B40))+('DCF Model'!L16*(1+0.035)/(0.11-0.035))/(1+0.11)^10-Assumptions!B48+Assumptions!B49)/Assumptions!B50</f>
        <v>153.742263974288</v>
      </c>
      <c r="G9" s="59" t="n">
        <f aca="false">('DCF Model'!L31*((0.12/Assumptions!B40))+('DCF Model'!L16*(1+0.035)/(0.12-0.035))/(1+0.12)^10-Assumptions!B48+Assumptions!B49)/Assumptions!B50</f>
        <v>144.456514670844</v>
      </c>
      <c r="H9" s="30"/>
      <c r="I9" s="30"/>
    </row>
    <row r="10" customFormat="false" ht="15" hidden="false" customHeight="true" outlineLevel="0" collapsed="false">
      <c r="A10" s="30"/>
      <c r="B10" s="30"/>
      <c r="C10" s="30"/>
      <c r="D10" s="30"/>
      <c r="E10" s="30"/>
      <c r="F10" s="30"/>
      <c r="G10" s="30"/>
      <c r="H10" s="30"/>
      <c r="I10" s="30"/>
    </row>
    <row r="11" customFormat="false" ht="15" hidden="false" customHeight="true" outlineLevel="0" collapsed="false">
      <c r="A11" s="53" t="s">
        <v>151</v>
      </c>
      <c r="B11" s="53"/>
      <c r="C11" s="53"/>
      <c r="D11" s="53"/>
      <c r="E11" s="53"/>
      <c r="F11" s="53"/>
      <c r="G11" s="53"/>
      <c r="H11" s="53"/>
      <c r="I11" s="30"/>
    </row>
    <row r="12" customFormat="false" ht="15" hidden="false" customHeight="true" outlineLevel="0" collapsed="false">
      <c r="A12" s="61" t="s">
        <v>152</v>
      </c>
      <c r="B12" s="61"/>
      <c r="C12" s="61"/>
      <c r="D12" s="61"/>
      <c r="E12" s="61"/>
      <c r="F12" s="61"/>
      <c r="G12" s="61"/>
      <c r="H12" s="61"/>
      <c r="I12" s="30"/>
    </row>
    <row r="13" customFormat="false" ht="15" hidden="false" customHeight="true" outlineLevel="0" collapsed="false">
      <c r="A13" s="55" t="s">
        <v>149</v>
      </c>
      <c r="B13" s="62" t="s">
        <v>153</v>
      </c>
      <c r="C13" s="62" t="s">
        <v>154</v>
      </c>
      <c r="D13" s="62" t="s">
        <v>155</v>
      </c>
      <c r="E13" s="62" t="s">
        <v>156</v>
      </c>
      <c r="F13" s="62" t="s">
        <v>157</v>
      </c>
      <c r="G13" s="62" t="s">
        <v>158</v>
      </c>
      <c r="H13" s="55" t="s">
        <v>159</v>
      </c>
      <c r="I13" s="30"/>
    </row>
    <row r="14" customFormat="false" ht="15" hidden="false" customHeight="true" outlineLevel="0" collapsed="false">
      <c r="A14" s="57" t="n">
        <v>0.07</v>
      </c>
      <c r="B14" s="58" t="n">
        <f aca="false">('DCF Model'!L31*((0.07/Assumptions!B40))+('DCF Model'!L10*18)/(1+0.07)^10-Assumptions!B48+Assumptions!B49)/Assumptions!B50</f>
        <v>236.736271424425</v>
      </c>
      <c r="C14" s="59" t="n">
        <f aca="false">('DCF Model'!L31*((0.07/Assumptions!B40))+('DCF Model'!L10*22)/(1+0.07)^10-Assumptions!B48+Assumptions!B49)/Assumptions!B50</f>
        <v>279.141286148682</v>
      </c>
      <c r="D14" s="58" t="n">
        <f aca="false">('DCF Model'!L31*((0.07/Assumptions!B40))+('DCF Model'!L10*26)/(1+0.07)^10-Assumptions!B48+Assumptions!B49)/Assumptions!B50</f>
        <v>321.546300872938</v>
      </c>
      <c r="E14" s="59" t="n">
        <f aca="false">('DCF Model'!L31*((0.07/Assumptions!B40))+('DCF Model'!L10*28)/(1+0.07)^10-Assumptions!B48+Assumptions!B49)/Assumptions!B50</f>
        <v>342.748808235066</v>
      </c>
      <c r="F14" s="58" t="n">
        <f aca="false">('DCF Model'!L31*((0.07/Assumptions!B40))+('DCF Model'!L10*32)/(1+0.07)^10-Assumptions!B48+Assumptions!B49)/Assumptions!B50</f>
        <v>385.153822959323</v>
      </c>
      <c r="G14" s="59" t="n">
        <f aca="false">('DCF Model'!L31*((0.07/Assumptions!B40))+('DCF Model'!L10*36)/(1+0.07)^10-Assumptions!B48+Assumptions!B49)/Assumptions!B50</f>
        <v>427.55883768358</v>
      </c>
      <c r="H14" s="30"/>
      <c r="I14" s="30"/>
    </row>
    <row r="15" customFormat="false" ht="15" hidden="false" customHeight="true" outlineLevel="0" collapsed="false">
      <c r="A15" s="57" t="n">
        <v>0.08</v>
      </c>
      <c r="B15" s="59" t="n">
        <f aca="false">('DCF Model'!L31*((0.08/Assumptions!B40))+('DCF Model'!L10*18)/(1+0.08)^10-Assumptions!B48+Assumptions!B49)/Assumptions!B50</f>
        <v>226.305436807093</v>
      </c>
      <c r="C15" s="58" t="n">
        <f aca="false">('DCF Model'!L31*((0.08/Assumptions!B40))+('DCF Model'!L10*22)/(1+0.08)^10-Assumptions!B48+Assumptions!B49)/Assumptions!B50</f>
        <v>264.943686109908</v>
      </c>
      <c r="D15" s="59" t="n">
        <f aca="false">('DCF Model'!L31*((0.08/Assumptions!B40))+('DCF Model'!L10*26)/(1+0.08)^10-Assumptions!B48+Assumptions!B49)/Assumptions!B50</f>
        <v>303.581935412723</v>
      </c>
      <c r="E15" s="58" t="n">
        <f aca="false">('DCF Model'!L31*((0.08/Assumptions!B40))+('DCF Model'!L10*28)/(1+0.08)^10-Assumptions!B48+Assumptions!B49)/Assumptions!B50</f>
        <v>322.901060064131</v>
      </c>
      <c r="F15" s="59" t="n">
        <f aca="false">('DCF Model'!L31*((0.08/Assumptions!B40))+('DCF Model'!L10*32)/(1+0.08)^10-Assumptions!B48+Assumptions!B49)/Assumptions!B50</f>
        <v>361.539309366946</v>
      </c>
      <c r="G15" s="58" t="n">
        <f aca="false">('DCF Model'!L31*((0.08/Assumptions!B40))+('DCF Model'!L10*36)/(1+0.08)^10-Assumptions!B48+Assumptions!B49)/Assumptions!B50</f>
        <v>400.177558669761</v>
      </c>
      <c r="H15" s="30"/>
      <c r="I15" s="30"/>
    </row>
    <row r="16" customFormat="false" ht="15" hidden="false" customHeight="true" outlineLevel="0" collapsed="false">
      <c r="A16" s="57" t="n">
        <v>0.09</v>
      </c>
      <c r="B16" s="58" t="n">
        <f aca="false">('DCF Model'!L31*((0.09/Assumptions!B40))+('DCF Model'!L10*18)/(1+0.09)^10-Assumptions!B48+Assumptions!B49)/Assumptions!B50</f>
        <v>217.516171362417</v>
      </c>
      <c r="C16" s="59" t="n">
        <f aca="false">('DCF Model'!L31*((0.09/Assumptions!B40))+('DCF Model'!L10*22)/(1+0.09)^10-Assumptions!B48+Assumptions!B49)/Assumptions!B50</f>
        <v>252.75244839327</v>
      </c>
      <c r="D16" s="58" t="n">
        <f aca="false">('DCF Model'!L31*((0.09/Assumptions!B40))+('DCF Model'!L10*26)/(1+0.09)^10-Assumptions!B48+Assumptions!B49)/Assumptions!B50</f>
        <v>287.988725424123</v>
      </c>
      <c r="E16" s="59" t="n">
        <f aca="false">('DCF Model'!L31*((0.09/Assumptions!B40))+('DCF Model'!L10*28)/(1+0.09)^10-Assumptions!B48+Assumptions!B49)/Assumptions!B50</f>
        <v>305.606863939549</v>
      </c>
      <c r="F16" s="58" t="n">
        <f aca="false">('DCF Model'!L31*((0.09/Assumptions!B40))+('DCF Model'!L10*32)/(1+0.09)^10-Assumptions!B48+Assumptions!B49)/Assumptions!B50</f>
        <v>340.843140970402</v>
      </c>
      <c r="G16" s="59" t="n">
        <f aca="false">('DCF Model'!L31*((0.09/Assumptions!B40))+('DCF Model'!L10*36)/(1+0.09)^10-Assumptions!B48+Assumptions!B49)/Assumptions!B50</f>
        <v>376.079418001254</v>
      </c>
      <c r="H16" s="30"/>
      <c r="I16" s="30"/>
    </row>
    <row r="17" customFormat="false" ht="15" hidden="false" customHeight="true" outlineLevel="0" collapsed="false">
      <c r="A17" s="57" t="n">
        <v>0.1</v>
      </c>
      <c r="B17" s="59" t="n">
        <f aca="false">('DCF Model'!L31*((0.1/Assumptions!B40))+('DCF Model'!L10*18)/(1+0.1)^10-Assumptions!B48+Assumptions!B49)/Assumptions!B50</f>
        <v>210.196567822412</v>
      </c>
      <c r="C17" s="58" t="n">
        <f aca="false">('DCF Model'!L31*((0.1/Assumptions!B40))+('DCF Model'!L10*22)/(1+0.1)^10-Assumptions!B48+Assumptions!B49)/Assumptions!B50</f>
        <v>242.357464115673</v>
      </c>
      <c r="D17" s="59" t="n">
        <f aca="false">('DCF Model'!L31*((0.1/Assumptions!B40))+('DCF Model'!L10*26)/(1+0.1)^10-Assumptions!B48+Assumptions!B49)/Assumptions!B50</f>
        <v>274.518360408935</v>
      </c>
      <c r="E17" s="63" t="n">
        <f aca="false">('DCF Model'!L31*((0.1/Assumptions!B40))+('DCF Model'!L10*28)/(1+0.1)^10-Assumptions!B48+Assumptions!B49)/Assumptions!B50</f>
        <v>290.598808555566</v>
      </c>
      <c r="F17" s="59" t="n">
        <f aca="false">('DCF Model'!L31*((0.1/Assumptions!B40))+('DCF Model'!L10*32)/(1+0.1)^10-Assumptions!B48+Assumptions!B49)/Assumptions!B50</f>
        <v>322.759704848827</v>
      </c>
      <c r="G17" s="58" t="n">
        <f aca="false">('DCF Model'!L31*((0.1/Assumptions!B40))+('DCF Model'!L10*36)/(1+0.1)^10-Assumptions!B48+Assumptions!B49)/Assumptions!B50</f>
        <v>354.920601142089</v>
      </c>
      <c r="H17" s="30"/>
      <c r="I17" s="30"/>
    </row>
    <row r="18" customFormat="false" ht="15" hidden="false" customHeight="true" outlineLevel="0" collapsed="false">
      <c r="A18" s="57" t="n">
        <v>0.11</v>
      </c>
      <c r="B18" s="58" t="n">
        <f aca="false">('DCF Model'!L31*((0.11/Assumptions!B40))+('DCF Model'!L10*18)/(1+0.11)^10-Assumptions!B48+Assumptions!B49)/Assumptions!B50</f>
        <v>204.194051663668</v>
      </c>
      <c r="C18" s="59" t="n">
        <f aca="false">('DCF Model'!L31*((0.11/Assumptions!B40))+('DCF Model'!L10*22)/(1+0.11)^10-Assumptions!B48+Assumptions!B49)/Assumptions!B50</f>
        <v>233.572253304063</v>
      </c>
      <c r="D18" s="58" t="n">
        <f aca="false">('DCF Model'!L31*((0.11/Assumptions!B40))+('DCF Model'!L10*26)/(1+0.11)^10-Assumptions!B48+Assumptions!B49)/Assumptions!B50</f>
        <v>262.950454944458</v>
      </c>
      <c r="E18" s="59" t="n">
        <f aca="false">('DCF Model'!L31*((0.11/Assumptions!B40))+('DCF Model'!L10*28)/(1+0.11)^10-Assumptions!B48+Assumptions!B49)/Assumptions!B50</f>
        <v>277.639555764656</v>
      </c>
      <c r="F18" s="58" t="n">
        <f aca="false">('DCF Model'!L31*((0.11/Assumptions!B40))+('DCF Model'!L10*32)/(1+0.11)^10-Assumptions!B48+Assumptions!B49)/Assumptions!B50</f>
        <v>307.017757405051</v>
      </c>
      <c r="G18" s="59" t="n">
        <f aca="false">('DCF Model'!L31*((0.11/Assumptions!B40))+('DCF Model'!L10*36)/(1+0.11)^10-Assumptions!B48+Assumptions!B49)/Assumptions!B50</f>
        <v>336.395959045446</v>
      </c>
      <c r="H18" s="30"/>
      <c r="I18" s="30"/>
    </row>
    <row r="19" customFormat="false" ht="15" hidden="false" customHeight="true" outlineLevel="0" collapsed="false">
      <c r="A19" s="57" t="n">
        <v>0.12</v>
      </c>
      <c r="B19" s="59" t="n">
        <f aca="false">('DCF Model'!L31*((0.12/Assumptions!B40))+('DCF Model'!L10*18)/(1+0.12)^10-Assumptions!B48+Assumptions!B49)/Assumptions!B50</f>
        <v>199.373059906475</v>
      </c>
      <c r="C19" s="58" t="n">
        <f aca="false">('DCF Model'!L31*((0.12/Assumptions!B40))+('DCF Model'!L10*22)/(1+0.12)^10-Assumptions!B48+Assumptions!B49)/Assumptions!B50</f>
        <v>226.231127872127</v>
      </c>
      <c r="D19" s="59" t="n">
        <f aca="false">('DCF Model'!L31*((0.12/Assumptions!B40))+('DCF Model'!L10*26)/(1+0.12)^10-Assumptions!B48+Assumptions!B49)/Assumptions!B50</f>
        <v>253.089195837778</v>
      </c>
      <c r="E19" s="58" t="n">
        <f aca="false">('DCF Model'!L31*((0.12/Assumptions!B40))+('DCF Model'!L10*28)/(1+0.12)^10-Assumptions!B48+Assumptions!B49)/Assumptions!B50</f>
        <v>266.518229820604</v>
      </c>
      <c r="F19" s="59" t="n">
        <f aca="false">('DCF Model'!L31*((0.12/Assumptions!B40))+('DCF Model'!L10*32)/(1+0.12)^10-Assumptions!B48+Assumptions!B49)/Assumptions!B50</f>
        <v>293.376297786255</v>
      </c>
      <c r="G19" s="58" t="n">
        <f aca="false">('DCF Model'!L31*((0.12/Assumptions!B40))+('DCF Model'!L10*36)/(1+0.12)^10-Assumptions!B48+Assumptions!B49)/Assumptions!B50</f>
        <v>320.234365751906</v>
      </c>
      <c r="H19" s="30"/>
      <c r="I19" s="30"/>
    </row>
    <row r="20" customFormat="false" ht="15" hidden="false" customHeight="true" outlineLevel="0" collapsed="false">
      <c r="A20" s="30"/>
      <c r="B20" s="30"/>
      <c r="C20" s="30"/>
      <c r="D20" s="30"/>
      <c r="E20" s="30"/>
      <c r="F20" s="30"/>
      <c r="G20" s="30"/>
      <c r="H20" s="30"/>
      <c r="I20" s="30"/>
    </row>
  </sheetData>
  <mergeCells count="4">
    <mergeCell ref="A1:H1"/>
    <mergeCell ref="A3:H3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5.42"/>
    <col collapsed="false" customWidth="true" hidden="false" outlineLevel="0" max="2" min="2" style="1" width="12.29"/>
    <col collapsed="false" customWidth="true" hidden="false" outlineLevel="0" max="3" min="3" style="1" width="15.71"/>
    <col collapsed="false" customWidth="true" hidden="false" outlineLevel="0" max="4" min="4" style="1" width="32.29"/>
    <col collapsed="false" customWidth="true" hidden="false" outlineLevel="0" max="5" min="5" style="1" width="11.29"/>
    <col collapsed="false" customWidth="true" hidden="false" outlineLevel="0" max="6" min="6" style="1" width="18.14"/>
    <col collapsed="false" customWidth="true" hidden="false" outlineLevel="0" max="7" min="7" style="1" width="16.71"/>
    <col collapsed="false" customWidth="true" hidden="false" outlineLevel="0" max="8" min="8" style="1" width="18"/>
    <col collapsed="false" customWidth="true" hidden="false" outlineLevel="0" max="9" min="9" style="1" width="16.57"/>
    <col collapsed="false" customWidth="true" hidden="false" outlineLevel="0" max="10" min="10" style="1" width="19.42"/>
    <col collapsed="false" customWidth="true" hidden="false" outlineLevel="0" max="11" min="11" style="1" width="58"/>
  </cols>
  <sheetData>
    <row r="1" customFormat="false" ht="18" hidden="false" customHeight="true" outlineLevel="0" collapsed="false">
      <c r="A1" s="64" t="s">
        <v>160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customFormat="false" ht="15" hidden="false" customHeight="true" outlineLevel="0" collapsed="false">
      <c r="A2" s="65" t="s">
        <v>161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customFormat="false" ht="15" hidden="false" customHeight="true" outlineLevel="0" collapsed="false">
      <c r="A3" s="66" t="s">
        <v>162</v>
      </c>
      <c r="B3" s="67" t="s">
        <v>163</v>
      </c>
      <c r="C3" s="68" t="s">
        <v>164</v>
      </c>
    </row>
    <row r="5" customFormat="false" ht="15" hidden="false" customHeight="true" outlineLevel="0" collapsed="false">
      <c r="A5" s="69" t="s">
        <v>165</v>
      </c>
      <c r="B5" s="69"/>
      <c r="C5" s="69"/>
      <c r="D5" s="69"/>
      <c r="E5" s="69"/>
    </row>
    <row r="6" customFormat="false" ht="15" hidden="false" customHeight="true" outlineLevel="0" collapsed="false">
      <c r="A6" s="70" t="s">
        <v>166</v>
      </c>
      <c r="B6" s="71"/>
      <c r="D6" s="72" t="s">
        <v>167</v>
      </c>
    </row>
    <row r="7" customFormat="false" ht="15" hidden="false" customHeight="true" outlineLevel="0" collapsed="false">
      <c r="A7" s="70" t="s">
        <v>168</v>
      </c>
      <c r="B7" s="73" t="n">
        <v>232000</v>
      </c>
      <c r="D7" s="72" t="n">
        <v>232000</v>
      </c>
    </row>
    <row r="8" customFormat="false" ht="15" hidden="false" customHeight="true" outlineLevel="0" collapsed="false">
      <c r="A8" s="70" t="s">
        <v>169</v>
      </c>
      <c r="B8" s="74" t="n">
        <v>0.15</v>
      </c>
      <c r="D8" s="75" t="s">
        <v>170</v>
      </c>
    </row>
    <row r="9" customFormat="false" ht="15" hidden="false" customHeight="true" outlineLevel="0" collapsed="false">
      <c r="A9" s="70" t="s">
        <v>171</v>
      </c>
      <c r="B9" s="73" t="n">
        <v>-6768</v>
      </c>
      <c r="D9" s="72" t="n">
        <v>-6768</v>
      </c>
    </row>
    <row r="10" customFormat="false" ht="15" hidden="false" customHeight="true" outlineLevel="0" collapsed="false">
      <c r="A10" s="70" t="s">
        <v>172</v>
      </c>
      <c r="B10" s="73" t="n">
        <v>24483</v>
      </c>
      <c r="D10" s="72" t="n">
        <v>24483</v>
      </c>
    </row>
    <row r="11" customFormat="false" ht="15" hidden="false" customHeight="true" outlineLevel="0" collapsed="false">
      <c r="A11" s="70" t="s">
        <v>173</v>
      </c>
      <c r="B11" s="76" t="n">
        <v>181.69</v>
      </c>
      <c r="D11" s="72" t="n">
        <v>181.69</v>
      </c>
    </row>
    <row r="13" customFormat="false" ht="15" hidden="false" customHeight="true" outlineLevel="0" collapsed="false">
      <c r="A13" s="69" t="s">
        <v>174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customFormat="false" ht="15" hidden="false" customHeight="true" outlineLevel="0" collapsed="false">
      <c r="A14" s="77" t="s">
        <v>175</v>
      </c>
      <c r="B14" s="77" t="s">
        <v>176</v>
      </c>
      <c r="C14" s="77" t="s">
        <v>177</v>
      </c>
      <c r="D14" s="77" t="s">
        <v>178</v>
      </c>
      <c r="E14" s="77" t="s">
        <v>179</v>
      </c>
      <c r="F14" s="77" t="s">
        <v>180</v>
      </c>
      <c r="G14" s="77" t="s">
        <v>168</v>
      </c>
      <c r="H14" s="77" t="s">
        <v>181</v>
      </c>
      <c r="I14" s="77" t="s">
        <v>182</v>
      </c>
      <c r="J14" s="77" t="s">
        <v>183</v>
      </c>
      <c r="K14" s="77" t="s">
        <v>4</v>
      </c>
    </row>
    <row r="15" customFormat="false" ht="15" hidden="false" customHeight="true" outlineLevel="0" collapsed="false">
      <c r="A15" s="78" t="s">
        <v>184</v>
      </c>
      <c r="B15" s="79" t="s">
        <v>185</v>
      </c>
      <c r="C15" s="80" t="n">
        <v>1570000</v>
      </c>
      <c r="D15" s="80" t="n">
        <v>67000</v>
      </c>
      <c r="E15" s="81" t="n">
        <f aca="false">C15+D15</f>
        <v>1637000</v>
      </c>
      <c r="F15" s="80" t="n">
        <v>82000</v>
      </c>
      <c r="G15" s="80" t="n">
        <v>43000</v>
      </c>
      <c r="H15" s="82" t="n">
        <f aca="false">IF(F15&gt;0,E15/F15,"-")</f>
        <v>19.9634146341463</v>
      </c>
      <c r="I15" s="82" t="n">
        <f aca="false">IF(G15&gt;0,E15/G15,"-")</f>
        <v>38.0697674418605</v>
      </c>
      <c r="J15" s="83" t="n">
        <f aca="false">IF(F15&gt;0,G15/F15,"-")</f>
        <v>0.524390243902439</v>
      </c>
      <c r="K15" s="84" t="s">
        <v>186</v>
      </c>
    </row>
    <row r="16" customFormat="false" ht="15" hidden="false" customHeight="true" outlineLevel="0" collapsed="false">
      <c r="A16" s="85" t="s">
        <v>187</v>
      </c>
      <c r="B16" s="86" t="s">
        <v>188</v>
      </c>
      <c r="C16" s="87" t="n">
        <v>1760000</v>
      </c>
      <c r="D16" s="87" t="n">
        <v>-60000</v>
      </c>
      <c r="E16" s="88" t="n">
        <f aca="false">C16+D16</f>
        <v>1700000</v>
      </c>
      <c r="F16" s="87" t="n">
        <v>135000</v>
      </c>
      <c r="G16" s="87" t="n">
        <v>97000</v>
      </c>
      <c r="H16" s="89" t="n">
        <f aca="false">IF(F16&gt;0,E16/F16,"-")</f>
        <v>12.5925925925926</v>
      </c>
      <c r="I16" s="89" t="n">
        <f aca="false">IF(G16&gt;0,E16/G16,"-")</f>
        <v>17.5257731958763</v>
      </c>
      <c r="J16" s="90" t="n">
        <f aca="false">IF(F16&gt;0,G16/F16,"-")</f>
        <v>0.718518518518519</v>
      </c>
      <c r="K16" s="91" t="s">
        <v>189</v>
      </c>
    </row>
    <row r="17" customFormat="false" ht="15" hidden="false" customHeight="true" outlineLevel="0" collapsed="false">
      <c r="A17" s="78" t="s">
        <v>190</v>
      </c>
      <c r="B17" s="79" t="s">
        <v>191</v>
      </c>
      <c r="C17" s="80" t="n">
        <v>320000</v>
      </c>
      <c r="D17" s="80" t="n">
        <v>2000</v>
      </c>
      <c r="E17" s="81" t="n">
        <f aca="false">C17+D17</f>
        <v>322000</v>
      </c>
      <c r="F17" s="80" t="n">
        <v>32000</v>
      </c>
      <c r="G17" s="80" t="n">
        <v>8500</v>
      </c>
      <c r="H17" s="82" t="n">
        <f aca="false">IF(F17&gt;0,E17/F17,"-")</f>
        <v>10.0625</v>
      </c>
      <c r="I17" s="82" t="n">
        <f aca="false">IF(G17&gt;0,E17/G17,"-")</f>
        <v>37.8823529411765</v>
      </c>
      <c r="J17" s="83" t="n">
        <f aca="false">IF(F17&gt;0,G17/F17,"-")</f>
        <v>0.265625</v>
      </c>
      <c r="K17" s="84" t="s">
        <v>192</v>
      </c>
    </row>
    <row r="18" customFormat="false" ht="15" hidden="false" customHeight="true" outlineLevel="0" collapsed="false">
      <c r="A18" s="85" t="s">
        <v>193</v>
      </c>
      <c r="B18" s="86" t="s">
        <v>194</v>
      </c>
      <c r="C18" s="87" t="n">
        <v>80000</v>
      </c>
      <c r="D18" s="87" t="n">
        <v>2500</v>
      </c>
      <c r="E18" s="88" t="n">
        <f aca="false">C18+D18</f>
        <v>82500</v>
      </c>
      <c r="F18" s="87" t="n">
        <v>7500</v>
      </c>
      <c r="G18" s="87" t="n">
        <v>2800</v>
      </c>
      <c r="H18" s="89" t="n">
        <f aca="false">IF(F18&gt;0,E18/F18,"-")</f>
        <v>11</v>
      </c>
      <c r="I18" s="89" t="n">
        <f aca="false">IF(G18&gt;0,E18/G18,"-")</f>
        <v>29.4642857142857</v>
      </c>
      <c r="J18" s="90" t="n">
        <f aca="false">IF(F18&gt;0,G18/F18,"-")</f>
        <v>0.373333333333333</v>
      </c>
      <c r="K18" s="91" t="s">
        <v>195</v>
      </c>
    </row>
    <row r="19" customFormat="false" ht="15" hidden="false" customHeight="true" outlineLevel="0" collapsed="false">
      <c r="A19" s="78" t="s">
        <v>196</v>
      </c>
      <c r="B19" s="79" t="s">
        <v>197</v>
      </c>
      <c r="C19" s="80" t="n">
        <v>160000</v>
      </c>
      <c r="D19" s="80" t="n">
        <v>6000</v>
      </c>
      <c r="E19" s="81" t="n">
        <f aca="false">C19+D19</f>
        <v>166000</v>
      </c>
      <c r="F19" s="80" t="n">
        <v>44000</v>
      </c>
      <c r="G19" s="80" t="n">
        <v>14000</v>
      </c>
      <c r="H19" s="82" t="n">
        <f aca="false">IF(F19&gt;0,E19/F19,"-")</f>
        <v>3.77272727272727</v>
      </c>
      <c r="I19" s="82" t="n">
        <f aca="false">IF(G19&gt;0,E19/G19,"-")</f>
        <v>11.8571428571429</v>
      </c>
      <c r="J19" s="83" t="n">
        <f aca="false">IF(F19&gt;0,G19/F19,"-")</f>
        <v>0.318181818181818</v>
      </c>
      <c r="K19" s="84" t="s">
        <v>198</v>
      </c>
    </row>
    <row r="20" customFormat="false" ht="15" hidden="false" customHeight="true" outlineLevel="0" collapsed="false">
      <c r="A20" s="92" t="s">
        <v>199</v>
      </c>
      <c r="B20" s="93" t="s">
        <v>200</v>
      </c>
      <c r="C20" s="94" t="n">
        <v>90000</v>
      </c>
      <c r="D20" s="94" t="n">
        <v>18000</v>
      </c>
      <c r="E20" s="95" t="n">
        <f aca="false">C20+D20</f>
        <v>108000</v>
      </c>
      <c r="F20" s="94" t="n">
        <v>55000</v>
      </c>
      <c r="G20" s="94" t="n">
        <v>9000</v>
      </c>
      <c r="H20" s="96" t="n">
        <f aca="false">IF(F20&gt;0,E20/F20,"-")</f>
        <v>1.96363636363636</v>
      </c>
      <c r="I20" s="96" t="n">
        <f aca="false">IF(G20&gt;0,E20/G20,"-")</f>
        <v>12</v>
      </c>
      <c r="J20" s="97" t="n">
        <f aca="false">IF(F20&gt;0,G20/F20,"-")</f>
        <v>0.163636363636364</v>
      </c>
      <c r="K20" s="98" t="s">
        <v>201</v>
      </c>
    </row>
    <row r="21" customFormat="false" ht="15" hidden="false" customHeight="true" outlineLevel="0" collapsed="false">
      <c r="A21" s="99" t="s">
        <v>202</v>
      </c>
      <c r="B21" s="100"/>
      <c r="C21" s="100"/>
      <c r="D21" s="100"/>
      <c r="E21" s="100"/>
      <c r="F21" s="100"/>
      <c r="G21" s="100"/>
      <c r="H21" s="101" t="n">
        <f aca="false">IFERROR(AVERAGE(H15:H20),"-")</f>
        <v>9.89247847718376</v>
      </c>
      <c r="I21" s="101" t="n">
        <f aca="false">IFERROR(AVERAGE(I15:I20),"-")</f>
        <v>24.4665536917236</v>
      </c>
      <c r="J21" s="100"/>
      <c r="K21" s="100"/>
    </row>
    <row r="22" customFormat="false" ht="15" hidden="false" customHeight="true" outlineLevel="0" collapsed="false">
      <c r="A22" s="102" t="s">
        <v>203</v>
      </c>
      <c r="B22" s="103"/>
      <c r="C22" s="103"/>
      <c r="D22" s="103"/>
      <c r="E22" s="103"/>
      <c r="F22" s="103"/>
      <c r="G22" s="103"/>
      <c r="H22" s="101" t="n">
        <f aca="false">IFERROR(AVERAGE(H16:H20),"-")</f>
        <v>7.87829124579125</v>
      </c>
      <c r="I22" s="104" t="n">
        <f aca="false">IFERROR(MEDIAN(I15:I20),"-")</f>
        <v>23.495029455081</v>
      </c>
      <c r="J22" s="103"/>
      <c r="K22" s="103"/>
    </row>
    <row r="23" customFormat="false" ht="15" hidden="false" customHeight="true" outlineLevel="0" collapsed="false">
      <c r="A23" s="102" t="s">
        <v>204</v>
      </c>
      <c r="B23" s="103"/>
      <c r="C23" s="103"/>
      <c r="D23" s="103"/>
      <c r="E23" s="103"/>
      <c r="F23" s="103"/>
      <c r="G23" s="103"/>
      <c r="H23" s="101" t="n">
        <f aca="false">IFERROR(AVERAGE(H17:H20),"-")</f>
        <v>6.69971590909091</v>
      </c>
      <c r="I23" s="104" t="n">
        <f aca="false">IFERROR(MEDIAN(I16:I21),"-")</f>
        <v>20.9961634438</v>
      </c>
      <c r="J23" s="103"/>
      <c r="K23" s="103"/>
    </row>
    <row r="24" customFormat="false" ht="15" hidden="false" customHeight="true" outlineLevel="0" collapsed="false">
      <c r="A24" s="102" t="s">
        <v>205</v>
      </c>
      <c r="B24" s="103"/>
      <c r="C24" s="103"/>
      <c r="D24" s="103"/>
      <c r="E24" s="103"/>
      <c r="F24" s="103"/>
      <c r="G24" s="103"/>
      <c r="H24" s="101" t="n">
        <f aca="false">IFERROR(AVERAGE(H18:H21),"-")</f>
        <v>6.65721052838685</v>
      </c>
      <c r="I24" s="104" t="n">
        <f aca="false">IFERROR(MEDIAN(I17:I22),"-")</f>
        <v>23.9807915734023</v>
      </c>
      <c r="J24" s="103"/>
      <c r="K24" s="103"/>
    </row>
    <row r="28" customFormat="false" ht="15" hidden="false" customHeight="true" outlineLevel="0" collapsed="false">
      <c r="A28" s="69" t="s">
        <v>206</v>
      </c>
      <c r="B28" s="69"/>
      <c r="C28" s="69"/>
      <c r="D28" s="69"/>
      <c r="E28" s="69"/>
      <c r="F28" s="69"/>
      <c r="G28" s="69"/>
    </row>
    <row r="29" customFormat="false" ht="15" hidden="false" customHeight="true" outlineLevel="0" collapsed="false">
      <c r="A29" s="70" t="s">
        <v>207</v>
      </c>
      <c r="B29" s="82" t="n">
        <f aca="false">IFERROR(MEDIAN(I15:I20),0)</f>
        <v>23.495029455081</v>
      </c>
    </row>
    <row r="30" customFormat="false" ht="15" hidden="false" customHeight="true" outlineLevel="0" collapsed="false">
      <c r="A30" s="70" t="s">
        <v>208</v>
      </c>
      <c r="B30" s="90" t="n">
        <f aca="false">$B$8</f>
        <v>0.15</v>
      </c>
    </row>
    <row r="31" customFormat="false" ht="15" hidden="false" customHeight="true" outlineLevel="0" collapsed="false">
      <c r="A31" s="70" t="s">
        <v>209</v>
      </c>
      <c r="B31" s="105" t="n">
        <f aca="false">B29*(1+B30)</f>
        <v>27.0192838733432</v>
      </c>
    </row>
    <row r="32" customFormat="false" ht="15" hidden="false" customHeight="true" outlineLevel="0" collapsed="false">
      <c r="A32" s="70" t="s">
        <v>168</v>
      </c>
      <c r="B32" s="88" t="n">
        <f aca="false">$B$7</f>
        <v>232000</v>
      </c>
    </row>
    <row r="33" customFormat="false" ht="15" hidden="false" customHeight="true" outlineLevel="0" collapsed="false">
      <c r="A33" s="70" t="s">
        <v>210</v>
      </c>
      <c r="B33" s="81" t="n">
        <f aca="false">B31*B32</f>
        <v>6268473.85861561</v>
      </c>
    </row>
    <row r="34" customFormat="false" ht="15" hidden="false" customHeight="true" outlineLevel="0" collapsed="false">
      <c r="A34" s="70" t="s">
        <v>211</v>
      </c>
      <c r="B34" s="106" t="n">
        <f aca="false">$B$9</f>
        <v>-6768</v>
      </c>
    </row>
    <row r="35" customFormat="false" ht="15" hidden="false" customHeight="true" outlineLevel="0" collapsed="false">
      <c r="A35" s="70" t="s">
        <v>212</v>
      </c>
      <c r="B35" s="81" t="n">
        <f aca="false">B33-B34</f>
        <v>6275241.85861561</v>
      </c>
    </row>
    <row r="36" customFormat="false" ht="15" hidden="false" customHeight="true" outlineLevel="0" collapsed="false">
      <c r="A36" s="70" t="s">
        <v>172</v>
      </c>
      <c r="B36" s="107" t="n">
        <f aca="false">$B$10</f>
        <v>24483</v>
      </c>
    </row>
    <row r="37" customFormat="false" ht="15" hidden="false" customHeight="true" outlineLevel="0" collapsed="false">
      <c r="A37" s="70" t="s">
        <v>213</v>
      </c>
      <c r="B37" s="108" t="n">
        <f aca="false">IF(B36&gt;0,B35/B36,"N/A")</f>
        <v>256.310168631933</v>
      </c>
    </row>
    <row r="38" customFormat="false" ht="15" hidden="false" customHeight="true" outlineLevel="0" collapsed="false">
      <c r="A38" s="70" t="s">
        <v>173</v>
      </c>
      <c r="B38" s="109" t="n">
        <f aca="false">$B$11</f>
        <v>181.69</v>
      </c>
    </row>
    <row r="39" customFormat="false" ht="15" hidden="false" customHeight="true" outlineLevel="0" collapsed="false">
      <c r="A39" s="70" t="s">
        <v>143</v>
      </c>
      <c r="B39" s="110" t="n">
        <f aca="false">IF(ISNUMBER(B37),(B37-B38)/B38,"N/A")</f>
        <v>0.410700471307903</v>
      </c>
    </row>
    <row r="42" customFormat="false" ht="15" hidden="false" customHeight="true" outlineLevel="0" collapsed="false">
      <c r="A42" s="69" t="s">
        <v>214</v>
      </c>
      <c r="B42" s="69"/>
      <c r="C42" s="69"/>
      <c r="D42" s="69"/>
      <c r="E42" s="69"/>
      <c r="F42" s="69"/>
      <c r="G42" s="69"/>
    </row>
    <row r="43" customFormat="false" ht="15" hidden="false" customHeight="true" outlineLevel="0" collapsed="false">
      <c r="A43" s="75" t="s">
        <v>215</v>
      </c>
    </row>
    <row r="44" customFormat="false" ht="15" hidden="false" customHeight="true" outlineLevel="0" collapsed="false">
      <c r="A44" s="111" t="s">
        <v>216</v>
      </c>
      <c r="B44" s="77" t="s">
        <v>217</v>
      </c>
      <c r="C44" s="77" t="s">
        <v>218</v>
      </c>
      <c r="D44" s="77" t="s">
        <v>219</v>
      </c>
      <c r="E44" s="77" t="s">
        <v>220</v>
      </c>
      <c r="F44" s="77" t="s">
        <v>221</v>
      </c>
    </row>
    <row r="45" customFormat="false" ht="15" hidden="false" customHeight="true" outlineLevel="0" collapsed="false">
      <c r="A45" s="112" t="n">
        <v>20</v>
      </c>
      <c r="B45" s="109" t="n">
        <f aca="false">IF(AND(ISNUMBER($B$7),$B$10&gt;0),(8*$B$7*(1+-0.2)-$B$9)/$B$10,"N/A")</f>
        <v>60.9225993546543</v>
      </c>
      <c r="C45" s="109" t="n">
        <f aca="false">IF(AND(ISNUMBER($B$7),$B$10&gt;0),(8*$B$7*(1+-0.1)-$B$9)/$B$10,"N/A")</f>
        <v>68.5033696850876</v>
      </c>
      <c r="D45" s="113" t="n">
        <f aca="false">IF(AND(ISNUMBER($B$7),$B$10&gt;0),(8*$B$7*(1+0)-$B$9)/$B$10,"N/A")</f>
        <v>76.084140015521</v>
      </c>
      <c r="E45" s="109" t="n">
        <f aca="false">IF(AND(ISNUMBER($B$7),$B$10&gt;0),(8*$B$7*(1+0.1)-$B$9)/$B$10,"N/A")</f>
        <v>83.6649103459543</v>
      </c>
      <c r="F45" s="109" t="n">
        <f aca="false">IF(AND(ISNUMBER($B$7),$B$10&gt;0),(8*$B$7*(1+0.2)-$B$9)/$B$10,"N/A")</f>
        <v>91.2456806763877</v>
      </c>
    </row>
    <row r="46" customFormat="false" ht="15" hidden="false" customHeight="true" outlineLevel="0" collapsed="false">
      <c r="A46" s="112" t="n">
        <v>25</v>
      </c>
      <c r="B46" s="114" t="n">
        <f aca="false">IF(AND(ISNUMBER($B$7),$B$10&gt;0),(10*$B$7*(1+-0.2)-$B$9)/$B$10,"N/A")</f>
        <v>76.084140015521</v>
      </c>
      <c r="C46" s="114" t="n">
        <f aca="false">IF(AND(ISNUMBER($B$7),$B$10&gt;0),(10*$B$7*(1+-0.1)-$B$9)/$B$10,"N/A")</f>
        <v>85.5601029285627</v>
      </c>
      <c r="D46" s="113" t="n">
        <f aca="false">IF(AND(ISNUMBER($B$7),$B$10&gt;0),(10*$B$7*(1+0)-$B$9)/$B$10,"N/A")</f>
        <v>95.0360658416044</v>
      </c>
      <c r="E46" s="114" t="n">
        <f aca="false">IF(AND(ISNUMBER($B$7),$B$10&gt;0),(10*$B$7*(1+0.1)-$B$9)/$B$10,"N/A")</f>
        <v>104.512028754646</v>
      </c>
      <c r="F46" s="114" t="n">
        <f aca="false">IF(AND(ISNUMBER($B$7),$B$10&gt;0),(10*$B$7*(1+0.2)-$B$9)/$B$10,"N/A")</f>
        <v>113.987991667688</v>
      </c>
    </row>
    <row r="47" customFormat="false" ht="15" hidden="false" customHeight="true" outlineLevel="0" collapsed="false">
      <c r="A47" s="112" t="n">
        <v>30</v>
      </c>
      <c r="B47" s="109" t="n">
        <f aca="false">IF(AND(ISNUMBER($B$7),$B$10&gt;0),(12*$B$7*(1+-0.2)-$B$9)/$B$10,"N/A")</f>
        <v>91.2456806763877</v>
      </c>
      <c r="C47" s="109" t="n">
        <f aca="false">IF(AND(ISNUMBER($B$7),$B$10&gt;0),(12*$B$7*(1+-0.1)-$B$9)/$B$10,"N/A")</f>
        <v>102.616836172038</v>
      </c>
      <c r="D47" s="113" t="n">
        <f aca="false">IF(AND(ISNUMBER($B$7),$B$10&gt;0),(12*$B$7*(1+0)-$B$9)/$B$10,"N/A")</f>
        <v>113.987991667688</v>
      </c>
      <c r="E47" s="109" t="n">
        <f aca="false">IF(AND(ISNUMBER($B$7),$B$10&gt;0),(12*$B$7*(1+0.1)-$B$9)/$B$10,"N/A")</f>
        <v>125.359147163338</v>
      </c>
      <c r="F47" s="109" t="n">
        <f aca="false">IF(AND(ISNUMBER($B$7),$B$10&gt;0),(12*$B$7*(1+0.2)-$B$9)/$B$10,"N/A")</f>
        <v>136.730302658988</v>
      </c>
    </row>
    <row r="48" customFormat="false" ht="15" hidden="false" customHeight="true" outlineLevel="0" collapsed="false">
      <c r="A48" s="112" t="n">
        <v>35</v>
      </c>
      <c r="B48" s="114" t="n">
        <f aca="false">IF(AND(ISNUMBER($B$7),$B$10&gt;0),(14*$B$7*(1+-0.2)-$B$9)/$B$10,"N/A")</f>
        <v>106.407221337254</v>
      </c>
      <c r="C48" s="114" t="n">
        <f aca="false">IF(AND(ISNUMBER($B$7),$B$10&gt;0),(14*$B$7*(1+-0.1)-$B$9)/$B$10,"N/A")</f>
        <v>119.673569415513</v>
      </c>
      <c r="D48" s="113" t="n">
        <f aca="false">IF(AND(ISNUMBER($B$7),$B$10&gt;0),(14*$B$7*(1+0)-$B$9)/$B$10,"N/A")</f>
        <v>132.939917493771</v>
      </c>
      <c r="E48" s="114" t="n">
        <f aca="false">IF(AND(ISNUMBER($B$7),$B$10&gt;0),(14*$B$7*(1+0.1)-$B$9)/$B$10,"N/A")</f>
        <v>146.20626557203</v>
      </c>
      <c r="F48" s="114" t="n">
        <f aca="false">IF(AND(ISNUMBER($B$7),$B$10&gt;0),(14*$B$7*(1+0.2)-$B$9)/$B$10,"N/A")</f>
        <v>159.472613650288</v>
      </c>
    </row>
    <row r="49" customFormat="false" ht="15" hidden="false" customHeight="true" outlineLevel="0" collapsed="false">
      <c r="A49" s="112" t="n">
        <v>40</v>
      </c>
      <c r="B49" s="109" t="n">
        <f aca="false">IF(AND(ISNUMBER($B$7),$B$10&gt;0),(16*$B$7*(1+-0.2)-$B$9)/$B$10,"N/A")</f>
        <v>121.568761998121</v>
      </c>
      <c r="C49" s="109" t="n">
        <f aca="false">IF(AND(ISNUMBER($B$7),$B$10&gt;0),(16*$B$7*(1+-0.1)-$B$9)/$B$10,"N/A")</f>
        <v>136.730302658988</v>
      </c>
      <c r="D49" s="113" t="n">
        <f aca="false">IF(AND(ISNUMBER($B$7),$B$10&gt;0),(16*$B$7*(1+0)-$B$9)/$B$10,"N/A")</f>
        <v>151.891843319855</v>
      </c>
      <c r="E49" s="109" t="n">
        <f aca="false">IF(AND(ISNUMBER($B$7),$B$10&gt;0),(16*$B$7*(1+0.1)-$B$9)/$B$10,"N/A")</f>
        <v>167.053383980721</v>
      </c>
      <c r="F49" s="109" t="n">
        <f aca="false">IF(AND(ISNUMBER($B$7),$B$10&gt;0),(16*$B$7*(1+0.2)-$B$9)/$B$10,"N/A")</f>
        <v>182.214924641588</v>
      </c>
    </row>
    <row r="50" customFormat="false" ht="15" hidden="false" customHeight="true" outlineLevel="0" collapsed="false">
      <c r="A50" s="112" t="n">
        <v>45</v>
      </c>
      <c r="B50" s="114" t="n">
        <f aca="false">IF(AND(ISNUMBER($B$7),$B$10&gt;0),(18*$B$7*(1+-0.2)-$B$9)/$B$10,"N/A")</f>
        <v>136.730302658988</v>
      </c>
      <c r="C50" s="114" t="n">
        <f aca="false">IF(AND(ISNUMBER($B$7),$B$10&gt;0),(18*$B$7*(1+-0.1)-$B$9)/$B$10,"N/A")</f>
        <v>153.787035902463</v>
      </c>
      <c r="D50" s="113" t="n">
        <f aca="false">IF(AND(ISNUMBER($B$7),$B$10&gt;0),(18*$B$7*(1+0)-$B$9)/$B$10,"N/A")</f>
        <v>170.843769145938</v>
      </c>
      <c r="E50" s="114" t="n">
        <f aca="false">IF(AND(ISNUMBER($B$7),$B$10&gt;0),(18*$B$7*(1+0.1)-$B$9)/$B$10,"N/A")</f>
        <v>187.900502389413</v>
      </c>
      <c r="F50" s="114" t="n">
        <f aca="false">IF(AND(ISNUMBER($B$7),$B$10&gt;0),(18*$B$7*(1+0.2)-$B$9)/$B$10,"N/A")</f>
        <v>204.957235632888</v>
      </c>
    </row>
    <row r="51" customFormat="false" ht="15" hidden="false" customHeight="true" outlineLevel="0" collapsed="false">
      <c r="A51" s="112" t="n">
        <v>50</v>
      </c>
      <c r="B51" s="109" t="n">
        <f aca="false">IF(AND(ISNUMBER($B$7),$B$10&gt;0),(20*$B$7*(1+-0.2)-$B$9)/$B$10,"N/A")</f>
        <v>151.891843319855</v>
      </c>
      <c r="C51" s="109" t="n">
        <f aca="false">IF(AND(ISNUMBER($B$7),$B$10&gt;0),(20*$B$7*(1+-0.1)-$B$9)/$B$10,"N/A")</f>
        <v>170.843769145938</v>
      </c>
      <c r="D51" s="113" t="n">
        <f aca="false">IF(AND(ISNUMBER($B$7),$B$10&gt;0),(20*$B$7*(1+0)-$B$9)/$B$10,"N/A")</f>
        <v>189.795694972021</v>
      </c>
      <c r="E51" s="109" t="n">
        <f aca="false">IF(AND(ISNUMBER($B$7),$B$10&gt;0),(20*$B$7*(1+0.1)-$B$9)/$B$10,"N/A")</f>
        <v>208.747620798105</v>
      </c>
      <c r="F51" s="109" t="n">
        <f aca="false">IF(AND(ISNUMBER($B$7),$B$10&gt;0),(20*$B$7*(1+0.2)-$B$9)/$B$10,"N/A")</f>
        <v>227.699546624188</v>
      </c>
    </row>
  </sheetData>
  <mergeCells count="6">
    <mergeCell ref="A1:K1"/>
    <mergeCell ref="A2:K2"/>
    <mergeCell ref="A5:E5"/>
    <mergeCell ref="A13:K13"/>
    <mergeCell ref="A28:G28"/>
    <mergeCell ref="A42:G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.85"/>
    <col collapsed="false" customWidth="true" hidden="false" outlineLevel="0" max="2" min="2" style="1" width="9"/>
    <col collapsed="false" customWidth="true" hidden="false" outlineLevel="0" max="3" min="3" style="1" width="14.14"/>
    <col collapsed="false" customWidth="true" hidden="false" outlineLevel="0" max="4" min="4" style="1" width="32.29"/>
    <col collapsed="false" customWidth="true" hidden="false" outlineLevel="0" max="5" min="5" style="1" width="9.71"/>
    <col collapsed="false" customWidth="true" hidden="false" outlineLevel="0" max="6" min="6" style="1" width="17.86"/>
    <col collapsed="false" customWidth="true" hidden="false" outlineLevel="0" max="7" min="7" style="1" width="10.14"/>
    <col collapsed="false" customWidth="true" hidden="false" outlineLevel="0" max="8" min="8" style="1" width="14.29"/>
    <col collapsed="false" customWidth="true" hidden="false" outlineLevel="0" max="9" min="9" style="1" width="10.85"/>
    <col collapsed="false" customWidth="true" hidden="false" outlineLevel="0" max="10" min="10" style="1" width="41.29"/>
  </cols>
  <sheetData>
    <row r="1" customFormat="false" ht="18" hidden="false" customHeight="true" outlineLevel="0" collapsed="false">
      <c r="A1" s="64" t="s">
        <v>222</v>
      </c>
      <c r="B1" s="64"/>
      <c r="C1" s="64"/>
      <c r="D1" s="64"/>
      <c r="E1" s="64"/>
      <c r="F1" s="64"/>
      <c r="G1" s="64"/>
      <c r="H1" s="64"/>
      <c r="I1" s="64"/>
      <c r="J1" s="64"/>
    </row>
    <row r="2" customFormat="false" ht="15" hidden="false" customHeight="true" outlineLevel="0" collapsed="false">
      <c r="A2" s="65" t="s">
        <v>161</v>
      </c>
      <c r="B2" s="65"/>
      <c r="C2" s="65"/>
      <c r="D2" s="65"/>
      <c r="E2" s="65"/>
      <c r="F2" s="65"/>
      <c r="G2" s="65"/>
      <c r="H2" s="65"/>
      <c r="I2" s="65"/>
      <c r="J2" s="65"/>
    </row>
    <row r="3" customFormat="false" ht="15" hidden="false" customHeight="true" outlineLevel="0" collapsed="false">
      <c r="A3" s="66" t="s">
        <v>162</v>
      </c>
      <c r="B3" s="67" t="s">
        <v>163</v>
      </c>
      <c r="C3" s="68" t="s">
        <v>164</v>
      </c>
    </row>
    <row r="5" customFormat="false" ht="15" hidden="false" customHeight="true" outlineLevel="0" collapsed="false">
      <c r="A5" s="69" t="s">
        <v>165</v>
      </c>
      <c r="B5" s="69"/>
      <c r="C5" s="69"/>
      <c r="D5" s="69"/>
      <c r="E5" s="69"/>
    </row>
    <row r="6" customFormat="false" ht="15" hidden="false" customHeight="true" outlineLevel="0" collapsed="false">
      <c r="A6" s="70" t="s">
        <v>166</v>
      </c>
      <c r="B6" s="115" t="s">
        <v>167</v>
      </c>
      <c r="C6" s="115"/>
      <c r="D6" s="115"/>
    </row>
    <row r="7" customFormat="false" ht="15" hidden="false" customHeight="true" outlineLevel="0" collapsed="false">
      <c r="A7" s="70" t="s">
        <v>223</v>
      </c>
      <c r="B7" s="76" t="n">
        <v>8.3</v>
      </c>
      <c r="D7" s="72"/>
    </row>
    <row r="8" customFormat="false" ht="15" hidden="false" customHeight="true" outlineLevel="0" collapsed="false">
      <c r="A8" s="70" t="s">
        <v>169</v>
      </c>
      <c r="B8" s="74" t="n">
        <v>0.2</v>
      </c>
      <c r="D8" s="75" t="s">
        <v>170</v>
      </c>
    </row>
    <row r="9" customFormat="false" ht="15" hidden="false" customHeight="true" outlineLevel="0" collapsed="false">
      <c r="A9" s="70" t="s">
        <v>173</v>
      </c>
      <c r="B9" s="76" t="n">
        <v>181.69</v>
      </c>
      <c r="D9" s="72"/>
    </row>
    <row r="11" customFormat="false" ht="15" hidden="false" customHeight="true" outlineLevel="0" collapsed="false">
      <c r="A11" s="69" t="s">
        <v>174</v>
      </c>
      <c r="B11" s="69"/>
      <c r="C11" s="69"/>
      <c r="D11" s="69"/>
      <c r="E11" s="69"/>
      <c r="F11" s="69"/>
      <c r="G11" s="69"/>
      <c r="H11" s="69"/>
      <c r="I11" s="69"/>
      <c r="J11" s="69"/>
    </row>
    <row r="12" customFormat="false" ht="15" hidden="false" customHeight="true" outlineLevel="0" collapsed="false">
      <c r="A12" s="77" t="s">
        <v>175</v>
      </c>
      <c r="B12" s="77" t="s">
        <v>176</v>
      </c>
      <c r="C12" s="77" t="s">
        <v>224</v>
      </c>
      <c r="D12" s="77" t="s">
        <v>223</v>
      </c>
      <c r="E12" s="77" t="s">
        <v>225</v>
      </c>
      <c r="F12" s="77" t="s">
        <v>226</v>
      </c>
      <c r="G12" s="77" t="s">
        <v>227</v>
      </c>
      <c r="H12" s="77" t="s">
        <v>228</v>
      </c>
      <c r="I12" s="77" t="s">
        <v>229</v>
      </c>
      <c r="J12" s="77" t="s">
        <v>4</v>
      </c>
    </row>
    <row r="13" customFormat="false" ht="15" hidden="false" customHeight="true" outlineLevel="0" collapsed="false">
      <c r="A13" s="78" t="s">
        <v>184</v>
      </c>
      <c r="B13" s="116" t="s">
        <v>185</v>
      </c>
      <c r="C13" s="117" t="n">
        <v>330</v>
      </c>
      <c r="D13" s="117" t="n">
        <v>13.32</v>
      </c>
      <c r="E13" s="82" t="n">
        <f aca="false">IF(D13&gt;0,C13/D13,"-")</f>
        <v>24.7747747747748</v>
      </c>
      <c r="F13" s="118" t="n">
        <v>0.35</v>
      </c>
      <c r="G13" s="82" t="n">
        <f aca="false">IF(AND(E13&lt;&gt;"-",F13&gt;0),E13/(F13*100),"-")</f>
        <v>0.707850707850708</v>
      </c>
      <c r="H13" s="118" t="n">
        <v>0.008</v>
      </c>
      <c r="I13" s="118" t="n">
        <v>0.362</v>
      </c>
      <c r="J13" s="84" t="s">
        <v>230</v>
      </c>
    </row>
    <row r="14" customFormat="false" ht="15" hidden="false" customHeight="true" outlineLevel="0" collapsed="false">
      <c r="A14" s="85" t="s">
        <v>187</v>
      </c>
      <c r="B14" s="119" t="s">
        <v>188</v>
      </c>
      <c r="C14" s="120" t="n">
        <v>353.86</v>
      </c>
      <c r="D14" s="120" t="n">
        <v>10.6</v>
      </c>
      <c r="E14" s="89" t="n">
        <f aca="false">IF(D14&gt;0,C14/D14,"-")</f>
        <v>33.3830188679245</v>
      </c>
      <c r="F14" s="121" t="n">
        <v>0.3</v>
      </c>
      <c r="G14" s="89" t="n">
        <f aca="false">IF(AND(E14&lt;&gt;"-",F14&gt;0),E14/(F14*100),"-")</f>
        <v>1.11276729559748</v>
      </c>
      <c r="H14" s="121" t="n">
        <v>0.011</v>
      </c>
      <c r="I14" s="121" t="n">
        <v>0.4</v>
      </c>
      <c r="J14" s="91" t="s">
        <v>231</v>
      </c>
    </row>
    <row r="15" customFormat="false" ht="15" hidden="false" customHeight="true" outlineLevel="0" collapsed="false">
      <c r="A15" s="78" t="s">
        <v>190</v>
      </c>
      <c r="B15" s="116" t="s">
        <v>191</v>
      </c>
      <c r="C15" s="117" t="n">
        <v>99</v>
      </c>
      <c r="D15" s="117" t="n">
        <v>4.2</v>
      </c>
      <c r="E15" s="82" t="n">
        <f aca="false">IF(D15&gt;0,C15/D15,"-")</f>
        <v>23.5714285714286</v>
      </c>
      <c r="F15" s="118" t="n">
        <v>0.25</v>
      </c>
      <c r="G15" s="82" t="n">
        <f aca="false">IF(AND(E15&lt;&gt;"-",F15&gt;0),E15/(F15*100),"-")</f>
        <v>0.942857142857143</v>
      </c>
      <c r="H15" s="118" t="n">
        <v>0</v>
      </c>
      <c r="I15" s="118" t="n">
        <v>0.068</v>
      </c>
      <c r="J15" s="84" t="s">
        <v>232</v>
      </c>
    </row>
    <row r="16" customFormat="false" ht="15" hidden="false" customHeight="true" outlineLevel="0" collapsed="false">
      <c r="A16" s="85" t="s">
        <v>193</v>
      </c>
      <c r="B16" s="119" t="s">
        <v>194</v>
      </c>
      <c r="C16" s="120" t="n">
        <v>65</v>
      </c>
      <c r="D16" s="120" t="n">
        <v>3.1</v>
      </c>
      <c r="E16" s="89" t="n">
        <f aca="false">IF(D16&gt;0,C16/D16,"-")</f>
        <v>20.9677419354839</v>
      </c>
      <c r="F16" s="121" t="n">
        <v>0.45</v>
      </c>
      <c r="G16" s="89" t="n">
        <f aca="false">IF(AND(E16&lt;&gt;"-",F16&gt;0),E16/(F16*100),"-")</f>
        <v>0.465949820788531</v>
      </c>
      <c r="H16" s="121" t="n">
        <v>0.004</v>
      </c>
      <c r="I16" s="121" t="n">
        <v>0.082</v>
      </c>
      <c r="J16" s="91" t="s">
        <v>233</v>
      </c>
    </row>
    <row r="17" customFormat="false" ht="15" hidden="false" customHeight="true" outlineLevel="0" collapsed="false">
      <c r="A17" s="78" t="s">
        <v>196</v>
      </c>
      <c r="B17" s="116" t="s">
        <v>197</v>
      </c>
      <c r="C17" s="117" t="n">
        <v>145</v>
      </c>
      <c r="D17" s="117" t="n">
        <v>11.5</v>
      </c>
      <c r="E17" s="82" t="n">
        <f aca="false">IF(D17&gt;0,C17/D17,"-")</f>
        <v>12.6086956521739</v>
      </c>
      <c r="F17" s="118" t="n">
        <v>0.08</v>
      </c>
      <c r="G17" s="82" t="n">
        <f aca="false">IF(AND(E17&lt;&gt;"-",F17&gt;0),E17/(F17*100),"-")</f>
        <v>1.57608695652174</v>
      </c>
      <c r="H17" s="118" t="n">
        <v>0.022</v>
      </c>
      <c r="I17" s="118" t="n">
        <v>0.272</v>
      </c>
      <c r="J17" s="84" t="s">
        <v>234</v>
      </c>
    </row>
    <row r="18" customFormat="false" ht="15" hidden="false" customHeight="true" outlineLevel="0" collapsed="false">
      <c r="A18" s="92" t="s">
        <v>199</v>
      </c>
      <c r="B18" s="122" t="s">
        <v>200</v>
      </c>
      <c r="C18" s="123" t="n">
        <v>22</v>
      </c>
      <c r="D18" s="123" t="n">
        <v>0.55</v>
      </c>
      <c r="E18" s="96" t="n">
        <f aca="false">IF(D18&gt;0,C18/D18,"-")</f>
        <v>40</v>
      </c>
      <c r="F18" s="124" t="n">
        <v>0.5</v>
      </c>
      <c r="G18" s="96" t="n">
        <f aca="false">IF(AND(E18&lt;&gt;"-",F18&gt;0),E18/(F18*100),"-")</f>
        <v>0.8</v>
      </c>
      <c r="H18" s="124" t="n">
        <v>0</v>
      </c>
      <c r="I18" s="124" t="n">
        <v>0.015</v>
      </c>
      <c r="J18" s="98" t="s">
        <v>235</v>
      </c>
    </row>
    <row r="19" customFormat="false" ht="15" hidden="false" customHeight="true" outlineLevel="0" collapsed="false">
      <c r="A19" s="99" t="s">
        <v>202</v>
      </c>
      <c r="B19" s="100"/>
      <c r="C19" s="100"/>
      <c r="D19" s="100"/>
      <c r="E19" s="101" t="n">
        <f aca="false">IFERROR(AVERAGE(E13:E18),"-")</f>
        <v>25.8842766336309</v>
      </c>
      <c r="F19" s="100"/>
      <c r="G19" s="101" t="n">
        <f aca="false">IFERROR(AVERAGE(G13:G18),"-")</f>
        <v>0.934251987269267</v>
      </c>
      <c r="H19" s="100"/>
      <c r="I19" s="100"/>
      <c r="J19" s="100"/>
    </row>
    <row r="20" customFormat="false" ht="15" hidden="false" customHeight="true" outlineLevel="0" collapsed="false">
      <c r="A20" s="102" t="s">
        <v>203</v>
      </c>
      <c r="B20" s="103"/>
      <c r="C20" s="103"/>
      <c r="D20" s="103"/>
      <c r="E20" s="104" t="n">
        <f aca="false">IFERROR(MEDIAN(E13:E18),"-")</f>
        <v>24.1731016731017</v>
      </c>
      <c r="F20" s="103"/>
      <c r="G20" s="104" t="n">
        <f aca="false">IFERROR(MEDIAN(G13:G18),"-")</f>
        <v>0.871428571428571</v>
      </c>
      <c r="H20" s="103"/>
      <c r="I20" s="103"/>
      <c r="J20" s="103"/>
    </row>
    <row r="21" customFormat="false" ht="15" hidden="false" customHeight="true" outlineLevel="0" collapsed="false">
      <c r="A21" s="102" t="s">
        <v>204</v>
      </c>
      <c r="B21" s="103"/>
      <c r="C21" s="103"/>
      <c r="D21" s="103"/>
      <c r="E21" s="104" t="n">
        <f aca="false">IFERROR(MAX(E13:E18),"-")</f>
        <v>40</v>
      </c>
      <c r="F21" s="103"/>
      <c r="G21" s="104" t="n">
        <f aca="false">IFERROR(MAX(G13:G18),"-")</f>
        <v>1.57608695652174</v>
      </c>
      <c r="H21" s="103"/>
      <c r="I21" s="103"/>
      <c r="J21" s="103"/>
    </row>
    <row r="22" customFormat="false" ht="15" hidden="false" customHeight="true" outlineLevel="0" collapsed="false">
      <c r="A22" s="102" t="s">
        <v>205</v>
      </c>
      <c r="B22" s="103"/>
      <c r="C22" s="103"/>
      <c r="D22" s="103"/>
      <c r="E22" s="104" t="n">
        <f aca="false">IFERROR(MIN(E13:E18),"-")</f>
        <v>12.6086956521739</v>
      </c>
      <c r="F22" s="103"/>
      <c r="G22" s="104" t="n">
        <f aca="false">IFERROR(MIN(G13:G18),"-")</f>
        <v>0.465949820788531</v>
      </c>
      <c r="H22" s="103"/>
      <c r="I22" s="103"/>
      <c r="J22" s="103"/>
    </row>
    <row r="26" customFormat="false" ht="15" hidden="false" customHeight="true" outlineLevel="0" collapsed="false">
      <c r="A26" s="69" t="s">
        <v>206</v>
      </c>
      <c r="B26" s="69"/>
      <c r="C26" s="69"/>
      <c r="D26" s="69"/>
      <c r="E26" s="69"/>
    </row>
    <row r="27" customFormat="false" ht="15" hidden="false" customHeight="true" outlineLevel="0" collapsed="false">
      <c r="A27" s="70" t="s">
        <v>236</v>
      </c>
      <c r="B27" s="82" t="n">
        <f aca="false">IFERROR(MEDIAN(E13:E18),0)</f>
        <v>24.1731016731017</v>
      </c>
    </row>
    <row r="28" customFormat="false" ht="15" hidden="false" customHeight="true" outlineLevel="0" collapsed="false">
      <c r="A28" s="70" t="s">
        <v>208</v>
      </c>
      <c r="B28" s="90" t="n">
        <f aca="false">$B$8</f>
        <v>0.2</v>
      </c>
    </row>
    <row r="29" customFormat="false" ht="15" hidden="false" customHeight="true" outlineLevel="0" collapsed="false">
      <c r="A29" s="70" t="s">
        <v>237</v>
      </c>
      <c r="B29" s="105" t="n">
        <f aca="false">B27*(1+B28)</f>
        <v>29.007722007722</v>
      </c>
    </row>
    <row r="30" customFormat="false" ht="15" hidden="false" customHeight="true" outlineLevel="0" collapsed="false">
      <c r="A30" s="70" t="s">
        <v>223</v>
      </c>
      <c r="B30" s="109" t="n">
        <f aca="false">$B$7</f>
        <v>8.3</v>
      </c>
    </row>
    <row r="31" customFormat="false" ht="15" hidden="false" customHeight="true" outlineLevel="0" collapsed="false">
      <c r="A31" s="70" t="s">
        <v>213</v>
      </c>
      <c r="B31" s="108" t="n">
        <f aca="false">IF(AND(ISNUMBER(B30),B30&gt;0),B29*B30,"N/A")</f>
        <v>240.764092664093</v>
      </c>
    </row>
    <row r="32" customFormat="false" ht="15" hidden="false" customHeight="true" outlineLevel="0" collapsed="false">
      <c r="A32" s="70" t="s">
        <v>173</v>
      </c>
      <c r="B32" s="109" t="n">
        <f aca="false">$B$9</f>
        <v>181.69</v>
      </c>
    </row>
    <row r="33" customFormat="false" ht="15" hidden="false" customHeight="true" outlineLevel="0" collapsed="false">
      <c r="A33" s="70" t="s">
        <v>143</v>
      </c>
      <c r="B33" s="110" t="n">
        <f aca="false">IF(ISNUMBER(B31),(B31-B32)/B32,"N/A")</f>
        <v>0.325136731047898</v>
      </c>
    </row>
    <row r="36" customFormat="false" ht="15" hidden="false" customHeight="true" outlineLevel="0" collapsed="false">
      <c r="A36" s="69" t="s">
        <v>238</v>
      </c>
      <c r="B36" s="69"/>
      <c r="C36" s="69"/>
      <c r="D36" s="69"/>
      <c r="E36" s="69"/>
      <c r="F36" s="69"/>
      <c r="G36" s="69"/>
    </row>
    <row r="37" customFormat="false" ht="15" hidden="false" customHeight="true" outlineLevel="0" collapsed="false">
      <c r="A37" s="75" t="s">
        <v>239</v>
      </c>
    </row>
    <row r="38" customFormat="false" ht="15" hidden="false" customHeight="true" outlineLevel="0" collapsed="false">
      <c r="A38" s="111" t="s">
        <v>240</v>
      </c>
      <c r="B38" s="77" t="s">
        <v>217</v>
      </c>
      <c r="C38" s="77" t="s">
        <v>218</v>
      </c>
      <c r="D38" s="77" t="s">
        <v>219</v>
      </c>
      <c r="E38" s="77" t="s">
        <v>220</v>
      </c>
      <c r="F38" s="77" t="s">
        <v>221</v>
      </c>
    </row>
    <row r="39" customFormat="false" ht="15" hidden="false" customHeight="true" outlineLevel="0" collapsed="false">
      <c r="A39" s="112" t="n">
        <v>20</v>
      </c>
      <c r="B39" s="109" t="n">
        <f aca="false">IF(ISNUMBER($B$7),10*$B$7*(1+-0.2),"N/A")</f>
        <v>66.4</v>
      </c>
      <c r="C39" s="109" t="n">
        <f aca="false">IF(ISNUMBER($B$7),10*$B$7*(1+-0.1),"N/A")</f>
        <v>74.7</v>
      </c>
      <c r="D39" s="113" t="n">
        <f aca="false">IF(ISNUMBER($B$7),10*$B$7*(1+0),"N/A")</f>
        <v>83</v>
      </c>
      <c r="E39" s="109" t="n">
        <f aca="false">IF(ISNUMBER($B$7),10*$B$7*(1+0.1),"N/A")</f>
        <v>91.3</v>
      </c>
      <c r="F39" s="109" t="n">
        <f aca="false">IF(ISNUMBER($B$7),10*$B$7*(1+0.2),"N/A")</f>
        <v>99.6</v>
      </c>
    </row>
    <row r="40" customFormat="false" ht="15" hidden="false" customHeight="true" outlineLevel="0" collapsed="false">
      <c r="A40" s="112" t="n">
        <v>25</v>
      </c>
      <c r="B40" s="114" t="n">
        <f aca="false">IF(ISNUMBER($B$7),15*$B$7*(1+-0.2),"N/A")</f>
        <v>99.6</v>
      </c>
      <c r="C40" s="114" t="n">
        <f aca="false">IF(ISNUMBER($B$7),15*$B$7*(1+-0.1),"N/A")</f>
        <v>112.05</v>
      </c>
      <c r="D40" s="113" t="n">
        <f aca="false">IF(ISNUMBER($B$7),15*$B$7*(1+0),"N/A")</f>
        <v>124.5</v>
      </c>
      <c r="E40" s="114" t="n">
        <f aca="false">IF(ISNUMBER($B$7),15*$B$7*(1+0.1),"N/A")</f>
        <v>136.95</v>
      </c>
      <c r="F40" s="114" t="n">
        <f aca="false">IF(ISNUMBER($B$7),15*$B$7*(1+0.2),"N/A")</f>
        <v>149.4</v>
      </c>
    </row>
    <row r="41" customFormat="false" ht="15" hidden="false" customHeight="true" outlineLevel="0" collapsed="false">
      <c r="A41" s="112" t="n">
        <v>30</v>
      </c>
      <c r="B41" s="109" t="n">
        <f aca="false">IF(ISNUMBER($B$7),20*$B$7*(1+-0.2),"N/A")</f>
        <v>132.8</v>
      </c>
      <c r="C41" s="109" t="n">
        <f aca="false">IF(ISNUMBER($B$7),20*$B$7*(1+-0.1),"N/A")</f>
        <v>149.4</v>
      </c>
      <c r="D41" s="113" t="n">
        <f aca="false">IF(ISNUMBER($B$7),20*$B$7*(1+0),"N/A")</f>
        <v>166</v>
      </c>
      <c r="E41" s="109" t="n">
        <f aca="false">IF(ISNUMBER($B$7),20*$B$7*(1+0.1),"N/A")</f>
        <v>182.6</v>
      </c>
      <c r="F41" s="109" t="n">
        <f aca="false">IF(ISNUMBER($B$7),20*$B$7*(1+0.2),"N/A")</f>
        <v>199.2</v>
      </c>
    </row>
    <row r="42" customFormat="false" ht="15" hidden="false" customHeight="true" outlineLevel="0" collapsed="false">
      <c r="A42" s="112" t="n">
        <v>35</v>
      </c>
      <c r="B42" s="114" t="n">
        <f aca="false">IF(ISNUMBER($B$7),25*$B$7*(1+-0.2),"N/A")</f>
        <v>166</v>
      </c>
      <c r="C42" s="114" t="n">
        <f aca="false">IF(ISNUMBER($B$7),25*$B$7*(1+-0.1),"N/A")</f>
        <v>186.75</v>
      </c>
      <c r="D42" s="113" t="n">
        <f aca="false">IF(ISNUMBER($B$7),25*$B$7*(1+0),"N/A")</f>
        <v>207.5</v>
      </c>
      <c r="E42" s="114" t="n">
        <f aca="false">IF(ISNUMBER($B$7),25*$B$7*(1+0.1),"N/A")</f>
        <v>228.25</v>
      </c>
      <c r="F42" s="114" t="n">
        <f aca="false">IF(ISNUMBER($B$7),25*$B$7*(1+0.2),"N/A")</f>
        <v>249</v>
      </c>
    </row>
    <row r="43" customFormat="false" ht="15" hidden="false" customHeight="true" outlineLevel="0" collapsed="false">
      <c r="A43" s="112" t="n">
        <v>40</v>
      </c>
      <c r="B43" s="109" t="n">
        <f aca="false">IF(ISNUMBER($B$7),30*$B$7*(1+-0.2),"N/A")</f>
        <v>199.2</v>
      </c>
      <c r="C43" s="109" t="n">
        <f aca="false">IF(ISNUMBER($B$7),30*$B$7*(1+-0.1),"N/A")</f>
        <v>224.1</v>
      </c>
      <c r="D43" s="113" t="n">
        <f aca="false">IF(ISNUMBER($B$7),30*$B$7*(1+0),"N/A")</f>
        <v>249</v>
      </c>
      <c r="E43" s="109" t="n">
        <f aca="false">IF(ISNUMBER($B$7),30*$B$7*(1+0.1),"N/A")</f>
        <v>273.9</v>
      </c>
      <c r="F43" s="109" t="n">
        <f aca="false">IF(ISNUMBER($B$7),30*$B$7*(1+0.2),"N/A")</f>
        <v>298.8</v>
      </c>
    </row>
    <row r="44" customFormat="false" ht="15" hidden="false" customHeight="true" outlineLevel="0" collapsed="false">
      <c r="A44" s="112" t="n">
        <v>45</v>
      </c>
      <c r="B44" s="114" t="n">
        <f aca="false">IF(ISNUMBER($B$7),35*$B$7*(1+-0.2),"N/A")</f>
        <v>232.4</v>
      </c>
      <c r="C44" s="114" t="n">
        <f aca="false">IF(ISNUMBER($B$7),35*$B$7*(1+-0.1),"N/A")</f>
        <v>261.45</v>
      </c>
      <c r="D44" s="113" t="n">
        <f aca="false">IF(ISNUMBER($B$7),35*$B$7*(1+0),"N/A")</f>
        <v>290.5</v>
      </c>
      <c r="E44" s="114" t="n">
        <f aca="false">IF(ISNUMBER($B$7),35*$B$7*(1+0.1),"N/A")</f>
        <v>319.55</v>
      </c>
      <c r="F44" s="114" t="n">
        <f aca="false">IF(ISNUMBER($B$7),35*$B$7*(1+0.2),"N/A")</f>
        <v>348.6</v>
      </c>
    </row>
    <row r="45" customFormat="false" ht="15" hidden="false" customHeight="true" outlineLevel="0" collapsed="false">
      <c r="A45" s="112" t="n">
        <v>50</v>
      </c>
      <c r="B45" s="109" t="n">
        <f aca="false">IF(ISNUMBER($B$7),40*$B$7*(1+-0.2),"N/A")</f>
        <v>265.6</v>
      </c>
      <c r="C45" s="109" t="n">
        <f aca="false">IF(ISNUMBER($B$7),40*$B$7*(1+-0.1),"N/A")</f>
        <v>298.8</v>
      </c>
      <c r="D45" s="113" t="n">
        <f aca="false">IF(ISNUMBER($B$7),40*$B$7*(1+0),"N/A")</f>
        <v>332</v>
      </c>
      <c r="E45" s="109" t="n">
        <f aca="false">IF(ISNUMBER($B$7),40*$B$7*(1+0.1),"N/A")</f>
        <v>365.2</v>
      </c>
      <c r="F45" s="109" t="n">
        <f aca="false">IF(ISNUMBER($B$7),40*$B$7*(1+0.2),"N/A")</f>
        <v>398.4</v>
      </c>
    </row>
  </sheetData>
  <mergeCells count="7">
    <mergeCell ref="A1:J1"/>
    <mergeCell ref="A2:J2"/>
    <mergeCell ref="A5:E5"/>
    <mergeCell ref="B6:D6"/>
    <mergeCell ref="A11:J11"/>
    <mergeCell ref="A26:E26"/>
    <mergeCell ref="A36:G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86"/>
    <col collapsed="false" customWidth="true" hidden="false" outlineLevel="0" max="2" min="2" style="1" width="16"/>
    <col collapsed="false" customWidth="true" hidden="false" outlineLevel="0" max="3" min="3" style="1" width="10.29"/>
    <col collapsed="false" customWidth="true" hidden="false" outlineLevel="0" max="4" min="4" style="1" width="18.57"/>
    <col collapsed="false" customWidth="true" hidden="false" outlineLevel="0" max="5" min="5" style="1" width="72.14"/>
  </cols>
  <sheetData>
    <row r="1" customFormat="false" ht="18" hidden="false" customHeight="true" outlineLevel="0" collapsed="false">
      <c r="A1" s="64" t="s">
        <v>241</v>
      </c>
      <c r="B1" s="64"/>
      <c r="C1" s="64"/>
      <c r="D1" s="64"/>
      <c r="E1" s="64"/>
    </row>
    <row r="2" customFormat="false" ht="15" hidden="false" customHeight="true" outlineLevel="0" collapsed="false">
      <c r="A2" s="65" t="s">
        <v>161</v>
      </c>
      <c r="B2" s="65"/>
      <c r="C2" s="65"/>
      <c r="D2" s="65"/>
      <c r="E2" s="65"/>
    </row>
    <row r="4" customFormat="false" ht="15" hidden="false" customHeight="true" outlineLevel="0" collapsed="false">
      <c r="A4" s="69" t="s">
        <v>242</v>
      </c>
      <c r="B4" s="69"/>
      <c r="C4" s="69"/>
      <c r="D4" s="69"/>
      <c r="E4" s="69"/>
    </row>
    <row r="5" customFormat="false" ht="15" hidden="false" customHeight="true" outlineLevel="0" collapsed="false">
      <c r="A5" s="77" t="s">
        <v>243</v>
      </c>
      <c r="B5" s="77" t="s">
        <v>244</v>
      </c>
      <c r="C5" s="77" t="s">
        <v>245</v>
      </c>
      <c r="D5" s="77" t="s">
        <v>246</v>
      </c>
      <c r="E5" s="77" t="s">
        <v>4</v>
      </c>
    </row>
    <row r="6" customFormat="false" ht="15" hidden="false" customHeight="true" outlineLevel="0" collapsed="false">
      <c r="A6" s="70" t="s">
        <v>247</v>
      </c>
      <c r="B6" s="120" t="n">
        <v>220</v>
      </c>
      <c r="C6" s="125" t="n">
        <v>0.334</v>
      </c>
      <c r="D6" s="109" t="n">
        <f aca="false">IF(ISNUMBER(B6),B6*C6,0)</f>
        <v>73.48</v>
      </c>
      <c r="E6" s="91" t="s">
        <v>248</v>
      </c>
    </row>
    <row r="7" customFormat="false" ht="15" hidden="false" customHeight="true" outlineLevel="0" collapsed="false">
      <c r="A7" s="70" t="s">
        <v>249</v>
      </c>
      <c r="B7" s="126" t="n">
        <f aca="false">'EV-EBITDA Comps'!B37</f>
        <v>256.310168631933</v>
      </c>
      <c r="C7" s="125" t="n">
        <v>0.333</v>
      </c>
      <c r="D7" s="114" t="n">
        <f aca="false">IF(ISNUMBER(B7),B7*C7,0)</f>
        <v>85.3512861544336</v>
      </c>
      <c r="E7" s="84" t="s">
        <v>250</v>
      </c>
    </row>
    <row r="8" customFormat="false" ht="15" hidden="false" customHeight="true" outlineLevel="0" collapsed="false">
      <c r="A8" s="70" t="s">
        <v>251</v>
      </c>
      <c r="B8" s="127" t="n">
        <f aca="false">'PE Comps'!B31</f>
        <v>240.764092664093</v>
      </c>
      <c r="C8" s="125" t="n">
        <v>0.333</v>
      </c>
      <c r="D8" s="109" t="n">
        <f aca="false">IF(ISNUMBER(B8),B8*C8,0)</f>
        <v>80.1744428571429</v>
      </c>
      <c r="E8" s="91" t="s">
        <v>252</v>
      </c>
    </row>
    <row r="9" customFormat="false" ht="15" hidden="false" customHeight="true" outlineLevel="0" collapsed="false">
      <c r="A9" s="128" t="s">
        <v>253</v>
      </c>
      <c r="C9" s="129" t="n">
        <f aca="false">SUM(C6:C8)</f>
        <v>1</v>
      </c>
    </row>
    <row r="10" customFormat="false" ht="18" hidden="false" customHeight="true" outlineLevel="0" collapsed="false">
      <c r="A10" s="130" t="s">
        <v>254</v>
      </c>
      <c r="B10" s="131"/>
      <c r="C10" s="131"/>
      <c r="D10" s="132" t="n">
        <f aca="false">IF(C9=1,SUM(D6:D8),"Check weights!")</f>
        <v>239.005729011577</v>
      </c>
      <c r="E10" s="131"/>
    </row>
    <row r="12" customFormat="false" ht="15" hidden="false" customHeight="true" outlineLevel="0" collapsed="false">
      <c r="A12" s="69" t="s">
        <v>255</v>
      </c>
      <c r="B12" s="69"/>
      <c r="C12" s="69"/>
      <c r="D12" s="69"/>
      <c r="E12" s="69"/>
    </row>
    <row r="13" customFormat="false" ht="15" hidden="false" customHeight="true" outlineLevel="0" collapsed="false">
      <c r="A13" s="70" t="s">
        <v>173</v>
      </c>
      <c r="B13" s="76" t="n">
        <v>181.69</v>
      </c>
    </row>
    <row r="14" customFormat="false" ht="15" hidden="false" customHeight="true" outlineLevel="0" collapsed="false">
      <c r="A14" s="70" t="s">
        <v>256</v>
      </c>
      <c r="B14" s="133" t="n">
        <f aca="false">D10</f>
        <v>239.005729011577</v>
      </c>
    </row>
    <row r="15" customFormat="false" ht="15" hidden="false" customHeight="true" outlineLevel="0" collapsed="false">
      <c r="A15" s="70" t="s">
        <v>143</v>
      </c>
      <c r="B15" s="134" t="n">
        <f aca="false">IF(ISNUMBER(D10),(D10-B13)/B13,"N/A")</f>
        <v>0.315458908093877</v>
      </c>
    </row>
    <row r="16" customFormat="false" ht="15" hidden="false" customHeight="true" outlineLevel="0" collapsed="false">
      <c r="A16" s="70" t="s">
        <v>257</v>
      </c>
      <c r="B16" s="135" t="s">
        <v>258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2026-03-07T16:13:42Z</dcterms:created>
  <dc:creator>openpyxl</dc:creator>
  <dc:description/>
  <dc:language>en-US</dc:language>
  <cp:lastModifiedBy>Simon Wilson</cp:lastModifiedBy>
  <dcterms:modified xsi:type="dcterms:W3CDTF">2026-03-08T02:50:03Z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